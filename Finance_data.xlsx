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5" activeTab="16"/>
  </bookViews>
  <sheets>
    <sheet name="September" sheetId="1" state="hidden" r:id="rId1"/>
    <sheet name="October" sheetId="2" state="hidden" r:id="rId2"/>
    <sheet name="November" sheetId="3" state="hidden" r:id="rId3"/>
    <sheet name="December" sheetId="4" state="hidden" r:id="rId4"/>
    <sheet name="January" sheetId="5" state="hidden" r:id="rId5"/>
    <sheet name="Mar 2025" sheetId="7" r:id="rId6"/>
    <sheet name="Apr 2025" sheetId="8" r:id="rId7"/>
    <sheet name="May 2025" sheetId="9" r:id="rId8"/>
    <sheet name="Jun 2025" sheetId="10" r:id="rId9"/>
    <sheet name="Jul 2025" sheetId="11" r:id="rId10"/>
    <sheet name="Aug 2025" sheetId="12" r:id="rId11"/>
    <sheet name="Sep 2025" sheetId="13" r:id="rId12"/>
    <sheet name="Oct 2025" sheetId="14" r:id="rId13"/>
    <sheet name="Nov 2025" sheetId="15" r:id="rId14"/>
    <sheet name="Dec 2025" sheetId="16" r:id="rId15"/>
    <sheet name="Jan 2026" sheetId="17" r:id="rId16"/>
    <sheet name="Feb 2026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73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E176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E177" authorId="0">
      <text>
        <r>
          <rPr>
            <sz val="10"/>
            <rFont val="SimSun"/>
            <charset val="134"/>
          </rPr>
          <t>All kinds of clothing</t>
        </r>
      </text>
    </comment>
    <comment ref="E178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E179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178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E181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E182" authorId="0">
      <text>
        <r>
          <rPr>
            <sz val="10"/>
            <rFont val="SimSun"/>
            <charset val="134"/>
          </rPr>
          <t>All kinds of clothing</t>
        </r>
      </text>
    </comment>
    <comment ref="E183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E184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173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176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177" authorId="0">
      <text>
        <r>
          <rPr>
            <sz val="10"/>
            <rFont val="SimSun"/>
            <charset val="134"/>
          </rPr>
          <t>All kinds of clothing</t>
        </r>
      </text>
    </comment>
    <comment ref="D178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179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104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107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108" authorId="0">
      <text>
        <r>
          <rPr>
            <sz val="10"/>
            <rFont val="SimSun"/>
            <charset val="134"/>
          </rPr>
          <t>All kinds of clothing</t>
        </r>
      </text>
    </comment>
    <comment ref="D109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110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B61" authorId="0">
      <text>
        <r>
          <rPr>
            <sz val="10"/>
            <rFont val="SimSun"/>
            <charset val="134"/>
          </rPr>
          <t>rifaximin</t>
        </r>
      </text>
    </comment>
    <comment ref="B65" authorId="0">
      <text>
        <r>
          <rPr>
            <sz val="10"/>
            <rFont val="SimSun"/>
            <charset val="134"/>
          </rPr>
          <t>neem and tripala</t>
        </r>
      </text>
    </comment>
    <comment ref="B70" authorId="0">
      <text>
        <r>
          <rPr>
            <sz val="10"/>
            <rFont val="SimSun"/>
            <charset val="134"/>
          </rPr>
          <t>zepto</t>
        </r>
      </text>
    </comment>
    <comment ref="B90" authorId="0">
      <text>
        <r>
          <rPr>
            <sz val="10"/>
            <rFont val="SimSun"/>
            <charset val="134"/>
          </rPr>
          <t xml:space="preserve">tony machan and freddy </t>
        </r>
      </text>
    </comment>
    <comment ref="D178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181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182" authorId="0">
      <text>
        <r>
          <rPr>
            <sz val="10"/>
            <rFont val="SimSun"/>
            <charset val="134"/>
          </rPr>
          <t>All kinds of clothing</t>
        </r>
      </text>
    </comment>
    <comment ref="D183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184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194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197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198" authorId="0">
      <text>
        <r>
          <rPr>
            <sz val="10"/>
            <rFont val="SimSun"/>
            <charset val="134"/>
          </rPr>
          <t>All kinds of clothing</t>
        </r>
      </text>
    </comment>
    <comment ref="D199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00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201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204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205" authorId="0">
      <text>
        <r>
          <rPr>
            <sz val="10"/>
            <rFont val="SimSun"/>
            <charset val="134"/>
          </rPr>
          <t>All kinds of clothing</t>
        </r>
      </text>
    </comment>
    <comment ref="D206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07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211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214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215" authorId="0">
      <text>
        <r>
          <rPr>
            <sz val="10"/>
            <rFont val="SimSun"/>
            <charset val="134"/>
          </rPr>
          <t>All kinds of clothing</t>
        </r>
      </text>
    </comment>
    <comment ref="D216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17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D224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227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228" authorId="0">
      <text>
        <r>
          <rPr>
            <sz val="10"/>
            <rFont val="SimSun"/>
            <charset val="134"/>
          </rPr>
          <t>All kinds of clothing</t>
        </r>
      </text>
    </comment>
    <comment ref="D229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30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29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232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233" authorId="0">
      <text>
        <r>
          <rPr>
            <sz val="10"/>
            <rFont val="SimSun"/>
            <charset val="134"/>
          </rPr>
          <t>All kinds of clothing</t>
        </r>
      </text>
    </comment>
    <comment ref="D234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35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D232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235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236" authorId="0">
      <text>
        <r>
          <rPr>
            <sz val="10"/>
            <rFont val="SimSun"/>
            <charset val="134"/>
          </rPr>
          <t>All kinds of clothing</t>
        </r>
      </text>
    </comment>
    <comment ref="D237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238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D122" authorId="0">
      <text>
        <r>
          <rPr>
            <sz val="10"/>
            <rFont val="SimSun"/>
            <charset val="134"/>
          </rPr>
          <t>Monthly grocery 
Weekly vegetable 
Weekly Fruits
Weekly meat/seafood and eggs
Nuts &amp; Seeds
Yakult</t>
        </r>
      </text>
    </comment>
    <comment ref="D125" authorId="0">
      <text>
        <r>
          <rPr>
            <sz val="10"/>
            <rFont val="SimSun"/>
            <charset val="134"/>
          </rPr>
          <t>Hospital medicine /visit/tests
Ors/Axe oil/Vicks/Pain relief
Multivita tab/Omega tab/Supp
Himalaya tablets  - Neem, tripala
Oregano oil capsules</t>
        </r>
      </text>
    </comment>
    <comment ref="D126" authorId="0">
      <text>
        <r>
          <rPr>
            <sz val="10"/>
            <rFont val="SimSun"/>
            <charset val="134"/>
          </rPr>
          <t>All kinds of clothing</t>
        </r>
      </text>
    </comment>
    <comment ref="D127" authorId="0">
      <text>
        <r>
          <rPr>
            <sz val="10"/>
            <rFont val="SimSun"/>
            <charset val="134"/>
          </rPr>
          <t>Rent and eb
Appliances, fixing tools and stuffs
JOURNAL
WIFI/MOBILE RECHARGES
SUBSCRIPTION:
Apple server +Utube+ apps (alarmy)</t>
        </r>
      </text>
    </comment>
    <comment ref="D128" authorId="0">
      <text>
        <r>
          <rPr>
            <sz val="10"/>
            <rFont val="SimSun"/>
            <charset val="134"/>
          </rPr>
          <t>All kinds of clothing</t>
        </r>
      </text>
    </comment>
  </commentList>
</comments>
</file>

<file path=xl/sharedStrings.xml><?xml version="1.0" encoding="utf-8"?>
<sst xmlns="http://schemas.openxmlformats.org/spreadsheetml/2006/main" count="3607" uniqueCount="1193">
  <si>
    <t>.</t>
  </si>
  <si>
    <t>Day</t>
  </si>
  <si>
    <t>Remark</t>
  </si>
  <si>
    <t>Type</t>
  </si>
  <si>
    <t>Amount In</t>
  </si>
  <si>
    <t>Amount Out</t>
  </si>
  <si>
    <t>Balance</t>
  </si>
  <si>
    <t>Total</t>
  </si>
  <si>
    <t>SBI</t>
  </si>
  <si>
    <t>Indian</t>
  </si>
  <si>
    <t>Paytm</t>
  </si>
  <si>
    <t>HDFC</t>
  </si>
  <si>
    <t>In Hand</t>
  </si>
  <si>
    <t>01/09/2024</t>
  </si>
  <si>
    <t xml:space="preserve">Salary </t>
  </si>
  <si>
    <t xml:space="preserve">Balance </t>
  </si>
  <si>
    <t xml:space="preserve">Offering </t>
  </si>
  <si>
    <t>Lunch</t>
  </si>
  <si>
    <t xml:space="preserve">Gloves </t>
  </si>
  <si>
    <t>Dosa batter</t>
  </si>
  <si>
    <t xml:space="preserve">Snacks </t>
  </si>
  <si>
    <t>Nuts</t>
  </si>
  <si>
    <t xml:space="preserve">Dinner </t>
  </si>
  <si>
    <t>cashback</t>
  </si>
  <si>
    <t>Rent</t>
  </si>
  <si>
    <t>CC</t>
  </si>
  <si>
    <t>03/09/2024</t>
  </si>
  <si>
    <t>Grocery</t>
  </si>
  <si>
    <t>to sam</t>
  </si>
  <si>
    <t>appa</t>
  </si>
  <si>
    <t>Dosa Batter</t>
  </si>
  <si>
    <t>Chicken</t>
  </si>
  <si>
    <t>gift</t>
  </si>
  <si>
    <t>Petrol</t>
  </si>
  <si>
    <t>snacks</t>
  </si>
  <si>
    <t>missing</t>
  </si>
  <si>
    <t>Music</t>
  </si>
  <si>
    <t>Dinner</t>
  </si>
  <si>
    <t xml:space="preserve">Petrol </t>
  </si>
  <si>
    <t xml:space="preserve">Grocery </t>
  </si>
  <si>
    <t>Batminton</t>
  </si>
  <si>
    <t>Wednesday</t>
  </si>
  <si>
    <t>Vi</t>
  </si>
  <si>
    <t>To home</t>
  </si>
  <si>
    <t xml:space="preserve">Evening snack </t>
  </si>
  <si>
    <t xml:space="preserve">Dosa batter </t>
  </si>
  <si>
    <t>14/09/2024</t>
  </si>
  <si>
    <t>Ticket</t>
  </si>
  <si>
    <t>Water</t>
  </si>
  <si>
    <t>16/0/2024</t>
  </si>
  <si>
    <t>Dry Fruits</t>
  </si>
  <si>
    <t>Veges</t>
  </si>
  <si>
    <t>18/09/2024</t>
  </si>
  <si>
    <t>Bnk. chg.</t>
  </si>
  <si>
    <t>Dress</t>
  </si>
  <si>
    <t>Vada</t>
  </si>
  <si>
    <t>Breakfast</t>
  </si>
  <si>
    <t>Shoe padding</t>
  </si>
  <si>
    <t>Evening snack</t>
  </si>
  <si>
    <t xml:space="preserve">Lunch </t>
  </si>
  <si>
    <t>Amma rc</t>
  </si>
  <si>
    <t>22/09/2024</t>
  </si>
  <si>
    <t xml:space="preserve">Ice cream </t>
  </si>
  <si>
    <t xml:space="preserve">Chocolate </t>
  </si>
  <si>
    <t>Fk return</t>
  </si>
  <si>
    <t xml:space="preserve">Unaccounted </t>
  </si>
  <si>
    <t>27/09/2024</t>
  </si>
  <si>
    <t xml:space="preserve">Friday </t>
  </si>
  <si>
    <t xml:space="preserve">Haircut </t>
  </si>
  <si>
    <t>Church food</t>
  </si>
  <si>
    <t>30/09/2024</t>
  </si>
  <si>
    <t>Sprite</t>
  </si>
  <si>
    <t>Date</t>
  </si>
  <si>
    <t>01/10/2024</t>
  </si>
  <si>
    <t>Salary</t>
  </si>
  <si>
    <t>From Dad</t>
  </si>
  <si>
    <t>Evening Snack</t>
  </si>
  <si>
    <t>CC Pay</t>
  </si>
  <si>
    <t>Snacks to anna</t>
  </si>
  <si>
    <t>06/10/2024</t>
  </si>
  <si>
    <t>EB Bill</t>
  </si>
  <si>
    <t>Offering</t>
  </si>
  <si>
    <t>to kishore</t>
  </si>
  <si>
    <t>Missing</t>
  </si>
  <si>
    <t>Grace Sup</t>
  </si>
  <si>
    <t>Sunday Lunch</t>
  </si>
  <si>
    <t>Food</t>
  </si>
  <si>
    <t>15/10/2024</t>
  </si>
  <si>
    <t xml:space="preserve">YouTube </t>
  </si>
  <si>
    <t>Skin care</t>
  </si>
  <si>
    <t>Amma</t>
  </si>
  <si>
    <t xml:space="preserve">Medicine </t>
  </si>
  <si>
    <t>19/10/2024</t>
  </si>
  <si>
    <t>20/10/2024</t>
  </si>
  <si>
    <t>Dad</t>
  </si>
  <si>
    <t>Fish oil</t>
  </si>
  <si>
    <t>22/10/2024</t>
  </si>
  <si>
    <t>24/10/2024</t>
  </si>
  <si>
    <t xml:space="preserve">Pant </t>
  </si>
  <si>
    <t>28/10/2024</t>
  </si>
  <si>
    <t>Dress alter</t>
  </si>
  <si>
    <t xml:space="preserve">Morning snacks </t>
  </si>
  <si>
    <t>Evening tea</t>
  </si>
  <si>
    <t>30/10/2024</t>
  </si>
  <si>
    <t>Rc</t>
  </si>
  <si>
    <t>01/11/2024</t>
  </si>
  <si>
    <t>Milk</t>
  </si>
  <si>
    <t>From Appa</t>
  </si>
  <si>
    <t>02/11/2024</t>
  </si>
  <si>
    <t>Kishore</t>
  </si>
  <si>
    <t>Specs</t>
  </si>
  <si>
    <t>Juices</t>
  </si>
  <si>
    <t>Toys</t>
  </si>
  <si>
    <t>Biscuits</t>
  </si>
  <si>
    <t>03/11/2024</t>
  </si>
  <si>
    <t>Water pump</t>
  </si>
  <si>
    <t>Grace</t>
  </si>
  <si>
    <t>04/11/2024</t>
  </si>
  <si>
    <t xml:space="preserve">Grace </t>
  </si>
  <si>
    <t>05/11/2024</t>
  </si>
  <si>
    <t xml:space="preserve">Vegetables </t>
  </si>
  <si>
    <t>Belt</t>
  </si>
  <si>
    <t xml:space="preserve">Cake </t>
  </si>
  <si>
    <t>Phone case</t>
  </si>
  <si>
    <t xml:space="preserve">Shoes </t>
  </si>
  <si>
    <t>Watch tray</t>
  </si>
  <si>
    <t xml:space="preserve">Weight </t>
  </si>
  <si>
    <t xml:space="preserve">Missing </t>
  </si>
  <si>
    <t xml:space="preserve">Shaving </t>
  </si>
  <si>
    <t>Cab</t>
  </si>
  <si>
    <t>Apollo</t>
  </si>
  <si>
    <t>Bus</t>
  </si>
  <si>
    <t>Auto</t>
  </si>
  <si>
    <t xml:space="preserve">Tablet </t>
  </si>
  <si>
    <t>13/11/2024</t>
  </si>
  <si>
    <t xml:space="preserve">Parking </t>
  </si>
  <si>
    <t xml:space="preserve">Ticket </t>
  </si>
  <si>
    <t>16/11/2024</t>
  </si>
  <si>
    <t xml:space="preserve">Subscription </t>
  </si>
  <si>
    <t>Mic cover</t>
  </si>
  <si>
    <t>19/11/2024</t>
  </si>
  <si>
    <t>Rapids</t>
  </si>
  <si>
    <t xml:space="preserve">Help </t>
  </si>
  <si>
    <t>Tea</t>
  </si>
  <si>
    <t>24/11/2024</t>
  </si>
  <si>
    <t>IRCTC</t>
  </si>
  <si>
    <t>27/11/2024</t>
  </si>
  <si>
    <t xml:space="preserve">Evening tea </t>
  </si>
  <si>
    <t>28/11/2024</t>
  </si>
  <si>
    <t>01/12/224</t>
  </si>
  <si>
    <t>Cc Pay</t>
  </si>
  <si>
    <t>01/12/2024</t>
  </si>
  <si>
    <t>02/12/2024</t>
  </si>
  <si>
    <t>Hotel food</t>
  </si>
  <si>
    <t>Maine homes nack</t>
  </si>
  <si>
    <t>Max dress</t>
  </si>
  <si>
    <t>EB bill</t>
  </si>
  <si>
    <t>03/12/2024</t>
  </si>
  <si>
    <t>04/12/2024</t>
  </si>
  <si>
    <t>05/12/2024</t>
  </si>
  <si>
    <t xml:space="preserve">Reward </t>
  </si>
  <si>
    <t>SBI charge</t>
  </si>
  <si>
    <t xml:space="preserve">Nuts </t>
  </si>
  <si>
    <t xml:space="preserve">Chicken </t>
  </si>
  <si>
    <t>Pant clothe</t>
  </si>
  <si>
    <t xml:space="preserve">Dinner with mo </t>
  </si>
  <si>
    <t xml:space="preserve">Briyani </t>
  </si>
  <si>
    <t xml:space="preserve">T return </t>
  </si>
  <si>
    <t>YT</t>
  </si>
  <si>
    <t xml:space="preserve">Kishore </t>
  </si>
  <si>
    <t xml:space="preserve">Donation </t>
  </si>
  <si>
    <t xml:space="preserve">Fruit </t>
  </si>
  <si>
    <t>17/12/2024</t>
  </si>
  <si>
    <t>Vi rc</t>
  </si>
  <si>
    <t>18/12/2024</t>
  </si>
  <si>
    <t xml:space="preserve">Shirt </t>
  </si>
  <si>
    <t>19/12/2024</t>
  </si>
  <si>
    <t xml:space="preserve">Air </t>
  </si>
  <si>
    <t xml:space="preserve">Cool drink </t>
  </si>
  <si>
    <t>22/12/2024</t>
  </si>
  <si>
    <t xml:space="preserve">Auto </t>
  </si>
  <si>
    <t>Bike t</t>
  </si>
  <si>
    <t>Auto Cdm</t>
  </si>
  <si>
    <t>26/12/2024</t>
  </si>
  <si>
    <t xml:space="preserve">NoBroker </t>
  </si>
  <si>
    <t xml:space="preserve">Fruits </t>
  </si>
  <si>
    <t xml:space="preserve">Face wash </t>
  </si>
  <si>
    <t xml:space="preserve">Fuel </t>
  </si>
  <si>
    <t xml:space="preserve">Vitamin </t>
  </si>
  <si>
    <t xml:space="preserve">Facial </t>
  </si>
  <si>
    <t>29/12/2024</t>
  </si>
  <si>
    <t>For Card</t>
  </si>
  <si>
    <t>Medicin</t>
  </si>
  <si>
    <t>To akka</t>
  </si>
  <si>
    <t>Jebi</t>
  </si>
  <si>
    <t>01/01/2025</t>
  </si>
  <si>
    <t>Interest</t>
  </si>
  <si>
    <t>Amz Gift Card</t>
  </si>
  <si>
    <t>Inners</t>
  </si>
  <si>
    <t>Parking</t>
  </si>
  <si>
    <t>02/01/2025</t>
  </si>
  <si>
    <t>Fuel</t>
  </si>
  <si>
    <t>Marker</t>
  </si>
  <si>
    <t>Medicine</t>
  </si>
  <si>
    <t>CC Pymt.</t>
  </si>
  <si>
    <t>AC ininstallation</t>
  </si>
  <si>
    <t>SBI
(Jebi)</t>
  </si>
  <si>
    <t>Josh</t>
  </si>
  <si>
    <t>01/03/2025</t>
  </si>
  <si>
    <t>Taxi</t>
  </si>
  <si>
    <t>Transport</t>
  </si>
  <si>
    <t>02/03/2025</t>
  </si>
  <si>
    <t>Marrige Gift</t>
  </si>
  <si>
    <t>House rent</t>
  </si>
  <si>
    <t>Home</t>
  </si>
  <si>
    <t>veg</t>
  </si>
  <si>
    <t>03/03/2025</t>
  </si>
  <si>
    <t>from jebi</t>
  </si>
  <si>
    <t>To Josh</t>
  </si>
  <si>
    <t>Others</t>
  </si>
  <si>
    <t>04/03/2025</t>
  </si>
  <si>
    <t>EB</t>
  </si>
  <si>
    <t xml:space="preserve">Milton flask </t>
  </si>
  <si>
    <t>Eve Snacks</t>
  </si>
  <si>
    <t>Snacks</t>
  </si>
  <si>
    <t>05/03/2025</t>
  </si>
  <si>
    <t>zepto</t>
  </si>
  <si>
    <t>dry fruits</t>
  </si>
  <si>
    <t>grocery</t>
  </si>
  <si>
    <t>06/03/2025</t>
  </si>
  <si>
    <t>Tithe</t>
  </si>
  <si>
    <t>UPI Cr</t>
  </si>
  <si>
    <t>Milk 2+ORS 2+Ramen 4+ Cheese Biscut 1</t>
  </si>
  <si>
    <t>SBI card maitenance</t>
  </si>
  <si>
    <t>Ph recharge</t>
  </si>
  <si>
    <t>08/03/2025</t>
  </si>
  <si>
    <t>Urban cleaning</t>
  </si>
  <si>
    <t>Jo Gift &amp; stuffs</t>
  </si>
  <si>
    <t>Jo Gift</t>
  </si>
  <si>
    <t>09/03/2025</t>
  </si>
  <si>
    <t>Cupboard</t>
  </si>
  <si>
    <t>SS</t>
  </si>
  <si>
    <t>10/03/2025</t>
  </si>
  <si>
    <t>11/03/2025</t>
  </si>
  <si>
    <t>Cleaning tips</t>
  </si>
  <si>
    <t>Health</t>
  </si>
  <si>
    <t>12/03/2025</t>
  </si>
  <si>
    <t xml:space="preserve">Mirror &amp; stand </t>
  </si>
  <si>
    <t>14/03/2025</t>
  </si>
  <si>
    <t>Bike service</t>
  </si>
  <si>
    <t>15/03/2025</t>
  </si>
  <si>
    <t>Bike seat</t>
  </si>
  <si>
    <t>Light</t>
  </si>
  <si>
    <t>SS Delivery</t>
  </si>
  <si>
    <t>16/03/2025</t>
  </si>
  <si>
    <t xml:space="preserve">Cashback </t>
  </si>
  <si>
    <t>Juice</t>
  </si>
  <si>
    <t>17/03/2025</t>
  </si>
  <si>
    <t>Cupboard Fitting</t>
  </si>
  <si>
    <t>18/03/2025</t>
  </si>
  <si>
    <t>19/03/2025</t>
  </si>
  <si>
    <t xml:space="preserve">Alarmy </t>
  </si>
  <si>
    <t>P Craving snack</t>
  </si>
  <si>
    <t>13/04/2025</t>
  </si>
  <si>
    <t>Apple service</t>
  </si>
  <si>
    <t>Horlicks</t>
  </si>
  <si>
    <t>21/04/2025</t>
  </si>
  <si>
    <t>22/04/2025</t>
  </si>
  <si>
    <t>lunch</t>
  </si>
  <si>
    <t>watermillon</t>
  </si>
  <si>
    <t>juice</t>
  </si>
  <si>
    <t>Hardware</t>
  </si>
  <si>
    <t>Xerox</t>
  </si>
  <si>
    <t>23/03/2025</t>
  </si>
  <si>
    <t>Vegetables</t>
  </si>
  <si>
    <t>others</t>
  </si>
  <si>
    <t>24/03/2025</t>
  </si>
  <si>
    <t>Gas</t>
  </si>
  <si>
    <t>RC</t>
  </si>
  <si>
    <t>cash back</t>
  </si>
  <si>
    <t>round off</t>
  </si>
  <si>
    <t>Tickets</t>
  </si>
  <si>
    <t>25/03/2025</t>
  </si>
  <si>
    <t>split</t>
  </si>
  <si>
    <t>gas</t>
  </si>
  <si>
    <t>train ticket</t>
  </si>
  <si>
    <t>27/03/2025</t>
  </si>
  <si>
    <t>Ind Chg</t>
  </si>
  <si>
    <t>29/03/2025</t>
  </si>
  <si>
    <t>Cholote</t>
  </si>
  <si>
    <t>30/03/2025</t>
  </si>
  <si>
    <t>31/03/2025</t>
  </si>
  <si>
    <t>Grcery</t>
  </si>
  <si>
    <t>Portor</t>
  </si>
  <si>
    <t>Total In</t>
  </si>
  <si>
    <t>Total Out</t>
  </si>
  <si>
    <t>Exclude Wodden bero (4 door) , rent, credit card tv</t>
  </si>
  <si>
    <t>Exclude bike service , seat cover</t>
  </si>
  <si>
    <t>Exclude Urban cleaning, Jo gift, Kitchen organiser and stuff for home, Bero assembly 1st time . bathroom mirror and bathroom light</t>
  </si>
  <si>
    <t xml:space="preserve">Food </t>
  </si>
  <si>
    <t>Not talling</t>
  </si>
  <si>
    <t>01/04/2025</t>
  </si>
  <si>
    <t>Tythe</t>
  </si>
  <si>
    <t>porter</t>
  </si>
  <si>
    <t>rent</t>
  </si>
  <si>
    <t>milk</t>
  </si>
  <si>
    <t>tea</t>
  </si>
  <si>
    <t>dinner</t>
  </si>
  <si>
    <t>petrol</t>
  </si>
  <si>
    <t>batter</t>
  </si>
  <si>
    <t>jebi</t>
  </si>
  <si>
    <t>08/04/2025</t>
  </si>
  <si>
    <t>Hair cut</t>
  </si>
  <si>
    <t>Batter</t>
  </si>
  <si>
    <t>12/04/2025</t>
  </si>
  <si>
    <t>Curd</t>
  </si>
  <si>
    <t xml:space="preserve">Watermelon </t>
  </si>
  <si>
    <t>Jebi dad</t>
  </si>
  <si>
    <t>14/04/2025</t>
  </si>
  <si>
    <t>15/04/2025</t>
  </si>
  <si>
    <t xml:space="preserve">Coffee </t>
  </si>
  <si>
    <t xml:space="preserve">iCloud </t>
  </si>
  <si>
    <t>Metro  RC</t>
  </si>
  <si>
    <t>16/04/2025</t>
  </si>
  <si>
    <t>Jebitha total</t>
  </si>
  <si>
    <t xml:space="preserve">Breakfast </t>
  </si>
  <si>
    <t xml:space="preserve">Vegetable </t>
  </si>
  <si>
    <t>Face wash</t>
  </si>
  <si>
    <t>snack</t>
  </si>
  <si>
    <t>tie</t>
  </si>
  <si>
    <t>shirts</t>
  </si>
  <si>
    <t>dosa batter</t>
  </si>
  <si>
    <t>cab</t>
  </si>
  <si>
    <t>Water Bottle</t>
  </si>
  <si>
    <t>milk &amp; biscuits</t>
  </si>
  <si>
    <t>cool drinks</t>
  </si>
  <si>
    <t>train dinner</t>
  </si>
  <si>
    <t>from anna</t>
  </si>
  <si>
    <t>break fast</t>
  </si>
  <si>
    <t>driver tips + tea</t>
  </si>
  <si>
    <t>27/04/2025</t>
  </si>
  <si>
    <t>Sunday</t>
  </si>
  <si>
    <t>Jebitha</t>
  </si>
  <si>
    <t>27/05/2025</t>
  </si>
  <si>
    <t>30/04/2025</t>
  </si>
  <si>
    <t>After Rent</t>
  </si>
  <si>
    <t>01/05/2025</t>
  </si>
  <si>
    <t>02/05/2025</t>
  </si>
  <si>
    <t>03/05/2025</t>
  </si>
  <si>
    <t>CB</t>
  </si>
  <si>
    <t xml:space="preserve">Tithe </t>
  </si>
  <si>
    <t>04/05/2025</t>
  </si>
  <si>
    <t>05/05/2025</t>
  </si>
  <si>
    <t>06/05/2025</t>
  </si>
  <si>
    <t xml:space="preserve">Washing liquid </t>
  </si>
  <si>
    <t xml:space="preserve">Ointment </t>
  </si>
  <si>
    <t xml:space="preserve">Monthly Grocery </t>
  </si>
  <si>
    <t>07/05/2025</t>
  </si>
  <si>
    <t xml:space="preserve">Doctor </t>
  </si>
  <si>
    <t>Tea (Office)</t>
  </si>
  <si>
    <t>AC inst.</t>
  </si>
  <si>
    <t xml:space="preserve">Jebi(guest food purchase with home snacks) </t>
  </si>
  <si>
    <t>Mummy phone recharge</t>
  </si>
  <si>
    <t>Je lunch</t>
  </si>
  <si>
    <t>Lunch egg</t>
  </si>
  <si>
    <t>10/05/2025</t>
  </si>
  <si>
    <t>AC Inst.</t>
  </si>
  <si>
    <t>chicken and veg</t>
  </si>
  <si>
    <t>Weekday veg</t>
  </si>
  <si>
    <t>Lenskart</t>
  </si>
  <si>
    <t>11/05/2025</t>
  </si>
  <si>
    <t>apple</t>
  </si>
  <si>
    <t>Gurka</t>
  </si>
  <si>
    <t>15 May 2025</t>
  </si>
  <si>
    <t>16 May 2025</t>
  </si>
  <si>
    <t>Jo lunch</t>
  </si>
  <si>
    <t>You tube premium</t>
  </si>
  <si>
    <t>17 May 2025</t>
  </si>
  <si>
    <t>2 Coconut</t>
  </si>
  <si>
    <t>Hardwares</t>
  </si>
  <si>
    <t>Hotel out</t>
  </si>
  <si>
    <t>Air check JE</t>
  </si>
  <si>
    <t>18/05/2025</t>
  </si>
  <si>
    <t>Indian bank</t>
  </si>
  <si>
    <t>To tally (SBI)</t>
  </si>
  <si>
    <t>Banana</t>
  </si>
  <si>
    <t>Tape &amp; roll-on</t>
  </si>
  <si>
    <t>App sub.</t>
  </si>
  <si>
    <t>Anna</t>
  </si>
  <si>
    <t>19/05/2025</t>
  </si>
  <si>
    <t>Lunch Jo</t>
  </si>
  <si>
    <t>Water hose set</t>
  </si>
  <si>
    <t>For ticket</t>
  </si>
  <si>
    <t>To dad</t>
  </si>
  <si>
    <t>Porter</t>
  </si>
  <si>
    <t>Eggs</t>
  </si>
  <si>
    <t>22/05/2025</t>
  </si>
  <si>
    <t>23/05/2025</t>
  </si>
  <si>
    <t xml:space="preserve">Banana </t>
  </si>
  <si>
    <t>25/05/2025</t>
  </si>
  <si>
    <t xml:space="preserve">Shampoo </t>
  </si>
  <si>
    <t>ORS</t>
  </si>
  <si>
    <t>WM Wire</t>
  </si>
  <si>
    <t>Rice,Yakut,idli podi</t>
  </si>
  <si>
    <t>28/05/2025</t>
  </si>
  <si>
    <t>Je recharge</t>
  </si>
  <si>
    <t xml:space="preserve">Jo </t>
  </si>
  <si>
    <t>Egg</t>
  </si>
  <si>
    <t>office snack</t>
  </si>
  <si>
    <t>Vi Rc</t>
  </si>
  <si>
    <t>Veg.</t>
  </si>
  <si>
    <t>bank chg.</t>
  </si>
  <si>
    <t>yakult</t>
  </si>
  <si>
    <t>medicine</t>
  </si>
  <si>
    <t>Snacks and oil</t>
  </si>
  <si>
    <t>chicken &amp; milk</t>
  </si>
  <si>
    <t>ice cream</t>
  </si>
  <si>
    <t>Excluding Rent</t>
  </si>
  <si>
    <t>Excude Tithe, Ac installation and ac necessy (ac stand, wire,etc)</t>
  </si>
  <si>
    <t>30/05/2025</t>
  </si>
  <si>
    <t>31/05/2025</t>
  </si>
  <si>
    <t>Monthly Grocery</t>
  </si>
  <si>
    <t>01/06/2025</t>
  </si>
  <si>
    <t xml:space="preserve">Drilling machine </t>
  </si>
  <si>
    <t xml:space="preserve"> Vegetable </t>
  </si>
  <si>
    <t>02/06/025</t>
  </si>
  <si>
    <t>Yakult</t>
  </si>
  <si>
    <t>02/06/2025</t>
  </si>
  <si>
    <t>03/06/2025</t>
  </si>
  <si>
    <t>Monthly Grocery bal in grace, snacks, tomato,yakult</t>
  </si>
  <si>
    <t>04/06/2025</t>
  </si>
  <si>
    <t>Onion</t>
  </si>
  <si>
    <t>Betadine Solu.</t>
  </si>
  <si>
    <t>06/06/2025</t>
  </si>
  <si>
    <t>Je Lunch</t>
  </si>
  <si>
    <t>In</t>
  </si>
  <si>
    <t>07/06/2025</t>
  </si>
  <si>
    <t>From Jebi</t>
  </si>
  <si>
    <t>Milk &amp; Curd</t>
  </si>
  <si>
    <t>Parents plus us Lunch (chicken)</t>
  </si>
  <si>
    <t>Parents plus us Lunch(udipi)</t>
  </si>
  <si>
    <t>08/06/2025</t>
  </si>
  <si>
    <t>chicken, mayo &amp; gingGar Paste</t>
  </si>
  <si>
    <t>Gift split</t>
  </si>
  <si>
    <t>Hair Cut Jo</t>
  </si>
  <si>
    <t>Dates</t>
  </si>
  <si>
    <t>Petrol Jo</t>
  </si>
  <si>
    <t>Dishwasher Cleaner</t>
  </si>
  <si>
    <t>09/06/2025</t>
  </si>
  <si>
    <t>Grocery &amp; snacks</t>
  </si>
  <si>
    <t>10/06/2025</t>
  </si>
  <si>
    <t>vegetables</t>
  </si>
  <si>
    <t>Jo snack</t>
  </si>
  <si>
    <t>Jo tea</t>
  </si>
  <si>
    <t xml:space="preserve">Jebi cal tablets </t>
  </si>
  <si>
    <t xml:space="preserve">Jo snacks </t>
  </si>
  <si>
    <t xml:space="preserve">Je medicine </t>
  </si>
  <si>
    <t xml:space="preserve">Alermy </t>
  </si>
  <si>
    <t>Snacks to jebi home</t>
  </si>
  <si>
    <t>From jebi</t>
  </si>
  <si>
    <t xml:space="preserve">Je lunch </t>
  </si>
  <si>
    <t>Apple server</t>
  </si>
  <si>
    <t>Je dinner</t>
  </si>
  <si>
    <t>Water, egg &amp; badam milk</t>
  </si>
  <si>
    <t>18/06/2025</t>
  </si>
  <si>
    <t>Vegetable</t>
  </si>
  <si>
    <t>20/06/2025</t>
  </si>
  <si>
    <t xml:space="preserve">Cab to hospital </t>
  </si>
  <si>
    <t>21/06/2025</t>
  </si>
  <si>
    <t>Hospital Reg.</t>
  </si>
  <si>
    <t>Yakult+Milk+Bread+Bun + Chesse+ egg</t>
  </si>
  <si>
    <t>22/06/2025</t>
  </si>
  <si>
    <t>Vegetable - Weekly</t>
  </si>
  <si>
    <t>Lunch JOJE</t>
  </si>
  <si>
    <t>23/06/2025</t>
  </si>
  <si>
    <t>Vicks inhale</t>
  </si>
  <si>
    <t>24/06/2025</t>
  </si>
  <si>
    <t xml:space="preserve">Snacks, banana </t>
  </si>
  <si>
    <t>25/06/2025</t>
  </si>
  <si>
    <t xml:space="preserve">Milk, yakult &amp; potato </t>
  </si>
  <si>
    <t xml:space="preserve">Jo biscuit </t>
  </si>
  <si>
    <t>26/06/2025</t>
  </si>
  <si>
    <t xml:space="preserve">Jo yogurt </t>
  </si>
  <si>
    <t xml:space="preserve">Dental visit </t>
  </si>
  <si>
    <t>Jebi Int.</t>
  </si>
  <si>
    <t xml:space="preserve">Fruit's and raw mango </t>
  </si>
  <si>
    <t xml:space="preserve">Chips &amp; ice cream </t>
  </si>
  <si>
    <t>Bank Chg.</t>
  </si>
  <si>
    <t>27/06/2025</t>
  </si>
  <si>
    <t>28/06/2025</t>
  </si>
  <si>
    <t>chicken , onion, tomato, ginger, chilli, etc</t>
  </si>
  <si>
    <t xml:space="preserve">Night outing </t>
  </si>
  <si>
    <t>29/06/2025</t>
  </si>
  <si>
    <t xml:space="preserve">Bakery </t>
  </si>
  <si>
    <t>Sugarcane juice</t>
  </si>
  <si>
    <t>Pomegranate juice</t>
  </si>
  <si>
    <t>30/06/2025</t>
  </si>
  <si>
    <t>Excude Tithe rent</t>
  </si>
  <si>
    <t>Indian (Rs. 1000)</t>
  </si>
  <si>
    <t>01/07/2025</t>
  </si>
  <si>
    <t>Je parents</t>
  </si>
  <si>
    <t>HDFC Int.</t>
  </si>
  <si>
    <t>Je Hait Cut</t>
  </si>
  <si>
    <t xml:space="preserve">Cab </t>
  </si>
  <si>
    <t>Birthday Decor. items</t>
  </si>
  <si>
    <t>Gift and cake</t>
  </si>
  <si>
    <t>Cake for cdm home</t>
  </si>
  <si>
    <t>02/07/2025</t>
  </si>
  <si>
    <t>Gpay cashback rewards</t>
  </si>
  <si>
    <t>Ticket ctm</t>
  </si>
  <si>
    <t>Ticket ch</t>
  </si>
  <si>
    <t>03/07/2025</t>
  </si>
  <si>
    <t>Je Lunch &amp; dinner noodle pack</t>
  </si>
  <si>
    <t>05/07/2025</t>
  </si>
  <si>
    <t>Je Inner</t>
  </si>
  <si>
    <t>Snacks for home</t>
  </si>
  <si>
    <t>06/07/2025</t>
  </si>
  <si>
    <t>07/07/2025</t>
  </si>
  <si>
    <t>From mum</t>
  </si>
  <si>
    <t>Coconut water</t>
  </si>
  <si>
    <t>Indian Bank Min. Bal.</t>
  </si>
  <si>
    <t>Juice &amp; biscuit</t>
  </si>
  <si>
    <t>Cab from guindy to house</t>
  </si>
  <si>
    <t>Dinner - Jo Je - Belpuri and alwa</t>
  </si>
  <si>
    <t>08/07/2025</t>
  </si>
  <si>
    <t xml:space="preserve">Milk &amp; little heart </t>
  </si>
  <si>
    <t>Jebi Journal</t>
  </si>
  <si>
    <t>09/07/2025</t>
  </si>
  <si>
    <t>Monthly grocery (Grace)</t>
  </si>
  <si>
    <t>10/07/2025</t>
  </si>
  <si>
    <t>Arush (Appy + galacy)</t>
  </si>
  <si>
    <t>Jo evening snack</t>
  </si>
  <si>
    <t>11/07/2025</t>
  </si>
  <si>
    <t>Monthly Nuts</t>
  </si>
  <si>
    <t>12/07/2025</t>
  </si>
  <si>
    <t>13/07/2025</t>
  </si>
  <si>
    <t xml:space="preserve">Tender coconut </t>
  </si>
  <si>
    <t>Veg &amp; fruit</t>
  </si>
  <si>
    <t>Ice cream</t>
  </si>
  <si>
    <t>15/07/2025</t>
  </si>
  <si>
    <t>Pharmacy Co</t>
  </si>
  <si>
    <t>16/07/2025</t>
  </si>
  <si>
    <t>iCloud</t>
  </si>
  <si>
    <t>Jo medicine</t>
  </si>
  <si>
    <t>Je petrol</t>
  </si>
  <si>
    <t>vada</t>
  </si>
  <si>
    <t>1707/2025</t>
  </si>
  <si>
    <t>Curd, Potato, tender coco.</t>
  </si>
  <si>
    <t>Himalaya Tablets</t>
  </si>
  <si>
    <t>food out</t>
  </si>
  <si>
    <t>18/07/2025</t>
  </si>
  <si>
    <t>Cravings Snacks- Insta</t>
  </si>
  <si>
    <t>Jo Evening Snack</t>
  </si>
  <si>
    <t>19/07/2025</t>
  </si>
  <si>
    <t>chicken and grocery</t>
  </si>
  <si>
    <t>weekly grocery</t>
  </si>
  <si>
    <t>20/07/2025</t>
  </si>
  <si>
    <t>Sun lunch - udipi</t>
  </si>
  <si>
    <t>21/07/2025</t>
  </si>
  <si>
    <t>Oregano capsules</t>
  </si>
  <si>
    <t>22/07/2025</t>
  </si>
  <si>
    <t>Coconut &amp; yakult</t>
  </si>
  <si>
    <t>Medicine Jo</t>
  </si>
  <si>
    <t>Je snacks</t>
  </si>
  <si>
    <t>From daddy</t>
  </si>
  <si>
    <t>From sbi</t>
  </si>
  <si>
    <t>23/07/2025</t>
  </si>
  <si>
    <t xml:space="preserve">food, next time no </t>
  </si>
  <si>
    <t xml:space="preserve">Oats </t>
  </si>
  <si>
    <t>24/07/2025</t>
  </si>
  <si>
    <t>Jo Rc</t>
  </si>
  <si>
    <t>cetaphil, sourdough bread &amp; veg</t>
  </si>
  <si>
    <t>25/07/2025</t>
  </si>
  <si>
    <t>Toilet seat fix</t>
  </si>
  <si>
    <t>Milk, sugar, fruits &amp; snacks</t>
  </si>
  <si>
    <t>Dinner Fam</t>
  </si>
  <si>
    <t>26/07/2025</t>
  </si>
  <si>
    <t>Beach snacks</t>
  </si>
  <si>
    <t>27/07/2025</t>
  </si>
  <si>
    <t>Chicken, tomato, yakult &amp; cappuccino</t>
  </si>
  <si>
    <t>Printout</t>
  </si>
  <si>
    <t>28/07/2025</t>
  </si>
  <si>
    <t>Weekly - Veg /lemon/chilli paste</t>
  </si>
  <si>
    <t>Dinner items - nood, bun,cinnamon</t>
  </si>
  <si>
    <t>Neem tablet</t>
  </si>
  <si>
    <t>Amma Rc</t>
  </si>
  <si>
    <t>Jo Bk. Chg.</t>
  </si>
  <si>
    <t>30/07/2025</t>
  </si>
  <si>
    <t>Chips and biscuts</t>
  </si>
  <si>
    <t>Dinner Jo</t>
  </si>
  <si>
    <t>31/07/2025</t>
  </si>
  <si>
    <t>GPay CB</t>
  </si>
  <si>
    <t>Jo Evening snacks</t>
  </si>
  <si>
    <t>01/08/2025</t>
  </si>
  <si>
    <t>Balance c/f</t>
  </si>
  <si>
    <t>Je study red bull 2</t>
  </si>
  <si>
    <t>02/08/2025</t>
  </si>
  <si>
    <t>Min. Bal. Jo SBI</t>
  </si>
  <si>
    <t xml:space="preserve">Yakult, lime &amp; red bull </t>
  </si>
  <si>
    <t xml:space="preserve">Jo haircut </t>
  </si>
  <si>
    <t xml:space="preserve">Je home snacks </t>
  </si>
  <si>
    <t>Lunch Jo Je</t>
  </si>
  <si>
    <t>03/08/2025</t>
  </si>
  <si>
    <t>Baby shower gift</t>
  </si>
  <si>
    <t xml:space="preserve">Nutrilite </t>
  </si>
  <si>
    <t>Weekly fruits &amp; veg + fro berry</t>
  </si>
  <si>
    <t>Zepto daily sub</t>
  </si>
  <si>
    <t>Milk, Bread, Banana, Lettuce, Mayo - Di</t>
  </si>
  <si>
    <t>05/08/2025</t>
  </si>
  <si>
    <t>Yakult &amp; snacks</t>
  </si>
  <si>
    <t>06/08/2025</t>
  </si>
  <si>
    <t>Cab to mama</t>
  </si>
  <si>
    <t>07/08/2025</t>
  </si>
  <si>
    <t xml:space="preserve">Evening snacks </t>
  </si>
  <si>
    <t>Jo Dinner</t>
  </si>
  <si>
    <t xml:space="preserve">Neem medicine </t>
  </si>
  <si>
    <t>08/08/2025</t>
  </si>
  <si>
    <t>battery</t>
  </si>
  <si>
    <t>Lunch Fam</t>
  </si>
  <si>
    <t>Yakult + tangy imli</t>
  </si>
  <si>
    <t>10/08/2025</t>
  </si>
  <si>
    <t>Weekly veg + dosa batter + milk + fruit</t>
  </si>
  <si>
    <t>egg</t>
  </si>
  <si>
    <t>kit</t>
  </si>
  <si>
    <t>12/08/2025</t>
  </si>
  <si>
    <t>13/08/2025</t>
  </si>
  <si>
    <t>14/08/2025</t>
  </si>
  <si>
    <t>monthly grocery</t>
  </si>
  <si>
    <t>Jeb Dad</t>
  </si>
  <si>
    <t>15/08/2025</t>
  </si>
  <si>
    <t>cab - to shop</t>
  </si>
  <si>
    <t>cab - back home</t>
  </si>
  <si>
    <t>given for change</t>
  </si>
  <si>
    <t>milk, curd &amp; berry</t>
  </si>
  <si>
    <t>Lunch fam</t>
  </si>
  <si>
    <t>uber cancel fee</t>
  </si>
  <si>
    <t>17/08/205</t>
  </si>
  <si>
    <t>cab to jeb home</t>
  </si>
  <si>
    <t>18/08/2025</t>
  </si>
  <si>
    <t>evening snacks</t>
  </si>
  <si>
    <t>mask</t>
  </si>
  <si>
    <t>daddy RC</t>
  </si>
  <si>
    <t>19/08/2025</t>
  </si>
  <si>
    <t>Kit</t>
  </si>
  <si>
    <t>20/08/2025</t>
  </si>
  <si>
    <t>Evening snacks</t>
  </si>
  <si>
    <t>neeam &amp; yakult</t>
  </si>
  <si>
    <t>21/08/2025</t>
  </si>
  <si>
    <t>Omega tab refund</t>
  </si>
  <si>
    <t>22/08/2025</t>
  </si>
  <si>
    <t>Jo dinner</t>
  </si>
  <si>
    <t>25/08/2025</t>
  </si>
  <si>
    <t>lunch FAM</t>
  </si>
  <si>
    <t>milk, onion &amp; tomato</t>
  </si>
  <si>
    <t>dos batter</t>
  </si>
  <si>
    <t>note</t>
  </si>
  <si>
    <t xml:space="preserve">Mummy </t>
  </si>
  <si>
    <t>Mummy data RC</t>
  </si>
  <si>
    <t>Weekly vegs + bath sponge+pen</t>
  </si>
  <si>
    <t>Je Petrol</t>
  </si>
  <si>
    <t>26/08/2025</t>
  </si>
  <si>
    <t xml:space="preserve">Jo petrol </t>
  </si>
  <si>
    <t>Rice, yakult &amp; snacks</t>
  </si>
  <si>
    <t>27/08/2025</t>
  </si>
  <si>
    <t>Mom RC</t>
  </si>
  <si>
    <t xml:space="preserve">Snacks + milk  + leafy green </t>
  </si>
  <si>
    <t>28/08/2025</t>
  </si>
  <si>
    <t xml:space="preserve">Yakult &amp; snacks </t>
  </si>
  <si>
    <t>Daddy check</t>
  </si>
  <si>
    <t>29/08/2025</t>
  </si>
  <si>
    <t>30/08/2025</t>
  </si>
  <si>
    <t>Milk, yakult,lemon &amp; tea</t>
  </si>
  <si>
    <t>Parents Je</t>
  </si>
  <si>
    <t>31/08/2025</t>
  </si>
  <si>
    <t xml:space="preserve">Weekly veg + fruit </t>
  </si>
  <si>
    <t>SBI (Josh)</t>
  </si>
  <si>
    <t>SBI (Jebi)</t>
  </si>
  <si>
    <t>01/09/2025</t>
  </si>
  <si>
    <t>Total bal and Balance with Je parents</t>
  </si>
  <si>
    <t>Salary Jo</t>
  </si>
  <si>
    <t>Noodle,burger prep,lettuce, sauce,oregano,chilli flakes, ice cream,brb chip</t>
  </si>
  <si>
    <t>02/09/2025</t>
  </si>
  <si>
    <t>car petrol split</t>
  </si>
  <si>
    <t>lunch Jo</t>
  </si>
  <si>
    <t>tithe</t>
  </si>
  <si>
    <t>Bet Je won</t>
  </si>
  <si>
    <t>03/09/2025</t>
  </si>
  <si>
    <t>YouTube</t>
  </si>
  <si>
    <t xml:space="preserve">Jo evening snack </t>
  </si>
  <si>
    <t>Yakult, snacks, pms fruits</t>
  </si>
  <si>
    <t>Je stitching white blouse</t>
  </si>
  <si>
    <t>Skin care, chocolate &amp; banana</t>
  </si>
  <si>
    <t>04/09/2025</t>
  </si>
  <si>
    <t>05/09/2025</t>
  </si>
  <si>
    <t>Honey &amp; pad</t>
  </si>
  <si>
    <t>Face wash, hair oil &amp; pad</t>
  </si>
  <si>
    <t>Medicine vit-d</t>
  </si>
  <si>
    <t>Jo evening snacks</t>
  </si>
  <si>
    <t>Mum for blouse</t>
  </si>
  <si>
    <t>Mum blouse</t>
  </si>
  <si>
    <t>Cleaning items - CDM</t>
  </si>
  <si>
    <t>Gen. Diesel - CDM</t>
  </si>
  <si>
    <t>07/09/2025</t>
  </si>
  <si>
    <t>Tea - CDM</t>
  </si>
  <si>
    <t>08/09/2025</t>
  </si>
  <si>
    <t>Train snack</t>
  </si>
  <si>
    <t>Storage container 24 pcs</t>
  </si>
  <si>
    <t>Savings</t>
  </si>
  <si>
    <t>09/09/2025</t>
  </si>
  <si>
    <t>Rice, dhall, fruits</t>
  </si>
  <si>
    <t>Weekly veg + Milk 3+ Yakult</t>
  </si>
  <si>
    <t>Neem tab</t>
  </si>
  <si>
    <t>laundry &amp; dishwasher detergent</t>
  </si>
  <si>
    <t>Tulsi chamolie tea bags</t>
  </si>
  <si>
    <t>herbal medicine - tripula</t>
  </si>
  <si>
    <t>11/09/2025</t>
  </si>
  <si>
    <t>milk, yakult &amp; snacks</t>
  </si>
  <si>
    <t>medicine b12</t>
  </si>
  <si>
    <t>13/09/2025</t>
  </si>
  <si>
    <t>milk &amp; vegetables</t>
  </si>
  <si>
    <t>Non-stick pan</t>
  </si>
  <si>
    <t>14/09/2025</t>
  </si>
  <si>
    <t>chicken, milk &amp; grocery</t>
  </si>
  <si>
    <t xml:space="preserve">apple drive </t>
  </si>
  <si>
    <t>15/09/2025</t>
  </si>
  <si>
    <t>Omega-3</t>
  </si>
  <si>
    <t>16/09/2025</t>
  </si>
  <si>
    <t>Lunch side dish</t>
  </si>
  <si>
    <t>Milk &amp; serum for mummy</t>
  </si>
  <si>
    <t>From Je parents</t>
  </si>
  <si>
    <t>17/09/2025</t>
  </si>
  <si>
    <t>Monthly grocery &amp; weekly veg.</t>
  </si>
  <si>
    <t>18/09/2025</t>
  </si>
  <si>
    <t>Jo Rc.</t>
  </si>
  <si>
    <t>Honey, milk, potato, paste, cofee</t>
  </si>
  <si>
    <t>19/09/2025</t>
  </si>
  <si>
    <t>20/09/2025</t>
  </si>
  <si>
    <t>Jeb. Vit-D</t>
  </si>
  <si>
    <t>Plant &amp; sand</t>
  </si>
  <si>
    <t>21/09/2025</t>
  </si>
  <si>
    <t>Weekly - Milk 3 _veg_ fruit</t>
  </si>
  <si>
    <t>22/09/2025</t>
  </si>
  <si>
    <t>idly powder, biscuits &amp; peanut snack</t>
  </si>
  <si>
    <t>24/09/2025</t>
  </si>
  <si>
    <t xml:space="preserve">From Jebi savings </t>
  </si>
  <si>
    <t>Zepto Cafe</t>
  </si>
  <si>
    <t>From mama</t>
  </si>
  <si>
    <t>Mama medicine</t>
  </si>
  <si>
    <t>grocery &amp; stationery</t>
  </si>
  <si>
    <t>25/09/2025</t>
  </si>
  <si>
    <t>Jebi petrol</t>
  </si>
  <si>
    <t>27/09/2025</t>
  </si>
  <si>
    <t>Grocery in mama house</t>
  </si>
  <si>
    <t>28/09/2025</t>
  </si>
  <si>
    <t>knee cap &amp; shampoo</t>
  </si>
  <si>
    <t>to tally</t>
  </si>
  <si>
    <t>29/09/2025</t>
  </si>
  <si>
    <t xml:space="preserve">Jo medicine </t>
  </si>
  <si>
    <t>30/09/2025</t>
  </si>
  <si>
    <t xml:space="preserve">3 Milk and weekly grocery </t>
  </si>
  <si>
    <t>Snacks &amp; chocolate</t>
  </si>
  <si>
    <t>folic &amp; electroal</t>
  </si>
  <si>
    <t>01/10/2025</t>
  </si>
  <si>
    <t>Jo HDFC int.</t>
  </si>
  <si>
    <t>milk, break, dosa batter, grocery and fruits</t>
  </si>
  <si>
    <t>02/10/2025</t>
  </si>
  <si>
    <t>CC Pay - Kefir</t>
  </si>
  <si>
    <t>House Rent</t>
  </si>
  <si>
    <t>keyboard &amp; lap. stand</t>
  </si>
  <si>
    <t>Mult. Vit.</t>
  </si>
  <si>
    <t>RO filter &amp; spanner</t>
  </si>
  <si>
    <t xml:space="preserve">Vit-D &amp; ors </t>
  </si>
  <si>
    <t xml:space="preserve">Rice, biscuits, backing powder &amp; glucose </t>
  </si>
  <si>
    <t>03/10/2025</t>
  </si>
  <si>
    <t>LPG Gas</t>
  </si>
  <si>
    <t>YouTube sub.</t>
  </si>
  <si>
    <t>Jebi Dinner</t>
  </si>
  <si>
    <t>Je medicine - period tab</t>
  </si>
  <si>
    <t>gas delivery</t>
  </si>
  <si>
    <t>05/10/2025</t>
  </si>
  <si>
    <t>vada - Sun snacks</t>
  </si>
  <si>
    <t>Weekly veg, green tea, milk, chips 2</t>
  </si>
  <si>
    <t>porter weekly veg :(</t>
  </si>
  <si>
    <t>06/10/2025</t>
  </si>
  <si>
    <t>08/10/2025</t>
  </si>
  <si>
    <t>milk, bread, spreads, towel &amp; veg.</t>
  </si>
  <si>
    <t>09/10/2025</t>
  </si>
  <si>
    <t>security</t>
  </si>
  <si>
    <t>10/10/2025</t>
  </si>
  <si>
    <t>milk, veg &amp; salt</t>
  </si>
  <si>
    <t>11/10/2025</t>
  </si>
  <si>
    <t>gpay cb</t>
  </si>
  <si>
    <t>Jo petrol</t>
  </si>
  <si>
    <t>Jo health (homeo)</t>
  </si>
  <si>
    <t>12/10/2025</t>
  </si>
  <si>
    <t>From cub-board</t>
  </si>
  <si>
    <t>morning snack</t>
  </si>
  <si>
    <t>Jebi x-ray teeth</t>
  </si>
  <si>
    <t>to jebi</t>
  </si>
  <si>
    <t>13/10/2025</t>
  </si>
  <si>
    <t>Veg. &amp; white rice</t>
  </si>
  <si>
    <t>14/10/2025</t>
  </si>
  <si>
    <t>Pant colour</t>
  </si>
  <si>
    <t>Month grocery - grace</t>
  </si>
  <si>
    <t>Month grocery - zepto</t>
  </si>
  <si>
    <t>15/10/2025</t>
  </si>
  <si>
    <t>Lemon, gulcose , red banana</t>
  </si>
  <si>
    <t>16/10/2025</t>
  </si>
  <si>
    <t>Jo Vi Rc.</t>
  </si>
  <si>
    <t>Jebi Vi Rc.</t>
  </si>
  <si>
    <t>17/10/2025</t>
  </si>
  <si>
    <t xml:space="preserve">chips, cake , juice- Period cravings </t>
  </si>
  <si>
    <t>Zepto refund</t>
  </si>
  <si>
    <t>18/10/2025</t>
  </si>
  <si>
    <t>Weekly veg, dosa batter , milk, greek yougurt , egg, bread</t>
  </si>
  <si>
    <t>19/10/2025</t>
  </si>
  <si>
    <t>chicken, coriander &amp; curd</t>
  </si>
  <si>
    <t>Jo sub.</t>
  </si>
  <si>
    <t>20/10/2025</t>
  </si>
  <si>
    <t>Grocery - Grace</t>
  </si>
  <si>
    <t>Crackers</t>
  </si>
  <si>
    <t>21/10/2025</t>
  </si>
  <si>
    <t>Zepto grocery</t>
  </si>
  <si>
    <t>22/10/2025</t>
  </si>
  <si>
    <t>milk 4, dosa batter 2, pimple patch</t>
  </si>
  <si>
    <t>24/10/2025</t>
  </si>
  <si>
    <t>Face ice &amp; hair scalp</t>
  </si>
  <si>
    <t xml:space="preserve">Milk &amp; chilli </t>
  </si>
  <si>
    <t xml:space="preserve">Dates, Dals , bathroom liquids, milk, comfort </t>
  </si>
  <si>
    <t>25/10/2025</t>
  </si>
  <si>
    <t>26/10/2025</t>
  </si>
  <si>
    <t>Milk, veg weekly , bread, yougurt</t>
  </si>
  <si>
    <t>27/10/2025</t>
  </si>
  <si>
    <t>Cloth stiffiner, park avvenu spray,dosa batter</t>
  </si>
  <si>
    <t>28/10/2025</t>
  </si>
  <si>
    <t>Breakfast balance</t>
  </si>
  <si>
    <t>30/10/2025</t>
  </si>
  <si>
    <t>Jo</t>
  </si>
  <si>
    <t>Jo HDFC Chg.</t>
  </si>
  <si>
    <t>Bike insurence</t>
  </si>
  <si>
    <t>01/11/2025</t>
  </si>
  <si>
    <t>Egg, brown sugar</t>
  </si>
  <si>
    <t>Electricity</t>
  </si>
  <si>
    <t>Lunch (chenna refunded)</t>
  </si>
  <si>
    <t>CC Pay (Si)</t>
  </si>
  <si>
    <t>Co</t>
  </si>
  <si>
    <t>Health(Stream)</t>
  </si>
  <si>
    <t>02/11/2025</t>
  </si>
  <si>
    <t>iManna chocolate iron</t>
  </si>
  <si>
    <t>Dosa batter, bread, yakult &amp; skyr</t>
  </si>
  <si>
    <t>03/11/2025</t>
  </si>
  <si>
    <t>Youtube</t>
  </si>
  <si>
    <t>04/11/2025</t>
  </si>
  <si>
    <t>A4 hos.</t>
  </si>
  <si>
    <t>Medicine (A4) supp Je</t>
  </si>
  <si>
    <t>milk , fruits , milk powder, ors</t>
  </si>
  <si>
    <t>05/11/2025</t>
  </si>
  <si>
    <t>RMCC</t>
  </si>
  <si>
    <t>Juice for head spins</t>
  </si>
  <si>
    <t>Medicine (ENT Dr) Je</t>
  </si>
  <si>
    <t>White sugar, snacks, dosa batter</t>
  </si>
  <si>
    <t>for head spins &amp; snacks</t>
  </si>
  <si>
    <t>06/11/2025</t>
  </si>
  <si>
    <t>for head spins</t>
  </si>
  <si>
    <t>07/11/2025</t>
  </si>
  <si>
    <t>for engage ann</t>
  </si>
  <si>
    <t>Bullet journal 2026</t>
  </si>
  <si>
    <t>nuts and seeds</t>
  </si>
  <si>
    <t>Je Dinner</t>
  </si>
  <si>
    <t>08/11/2025</t>
  </si>
  <si>
    <t>Medicine (Apollo)</t>
  </si>
  <si>
    <t>Doctor Homeo</t>
  </si>
  <si>
    <t>Dosa batter, milk</t>
  </si>
  <si>
    <t>09/11/2025</t>
  </si>
  <si>
    <t>Jo CB</t>
  </si>
  <si>
    <t>Co(gel spray)</t>
  </si>
  <si>
    <t>10/11/2025</t>
  </si>
  <si>
    <t>Sports wear(IN)</t>
  </si>
  <si>
    <t>11/11/2025</t>
  </si>
  <si>
    <t>Weekly veg. + monthly gro.</t>
  </si>
  <si>
    <t>Daddy Snacks</t>
  </si>
  <si>
    <t>12/11/2025</t>
  </si>
  <si>
    <t>Je Vi Rc.</t>
  </si>
  <si>
    <t>13/11/2025</t>
  </si>
  <si>
    <t>Jo snacks</t>
  </si>
  <si>
    <t>Security</t>
  </si>
  <si>
    <t>iCloude</t>
  </si>
  <si>
    <t>14/11/2025</t>
  </si>
  <si>
    <t>Jo Petrol</t>
  </si>
  <si>
    <t>Jo Lunch</t>
  </si>
  <si>
    <t>Chicken Grill</t>
  </si>
  <si>
    <t>Milk, Juice &amp; lemon</t>
  </si>
  <si>
    <t>Je CB</t>
  </si>
  <si>
    <t>Jo soft drink</t>
  </si>
  <si>
    <t>15/11/2025</t>
  </si>
  <si>
    <t>egg &amp; alovera</t>
  </si>
  <si>
    <t>16/11/2025</t>
  </si>
  <si>
    <t>Chicken, mint, etc...</t>
  </si>
  <si>
    <t>mama cab</t>
  </si>
  <si>
    <t>17/11/2025</t>
  </si>
  <si>
    <t>weekly veg. &amp; waxing</t>
  </si>
  <si>
    <t>18/11/2025</t>
  </si>
  <si>
    <t>node &amp; juice</t>
  </si>
  <si>
    <t>cab + auto</t>
  </si>
  <si>
    <t>Jebi mom</t>
  </si>
  <si>
    <t>19/11/2025</t>
  </si>
  <si>
    <t>gpt</t>
  </si>
  <si>
    <t>Gee, cucumber &amp; snacks</t>
  </si>
  <si>
    <t>20/11/2025</t>
  </si>
  <si>
    <t>Egg &amp; milk</t>
  </si>
  <si>
    <t>23/11/2025</t>
  </si>
  <si>
    <t>weekly grocery, chicken &amp; lentils 3</t>
  </si>
  <si>
    <t>24/11/2025</t>
  </si>
  <si>
    <t>From Jo Ind. Bank</t>
  </si>
  <si>
    <t>26/11/2025</t>
  </si>
  <si>
    <t>27/11/2025</t>
  </si>
  <si>
    <t>ice cream, mawa cake, potato chips</t>
  </si>
  <si>
    <t>28/11/2025</t>
  </si>
  <si>
    <t>Meals and  vada sp</t>
  </si>
  <si>
    <t>bread,pregnancy kit,</t>
  </si>
  <si>
    <t>29/11/2025</t>
  </si>
  <si>
    <t>chicken, onion, tomato &amp; lemon</t>
  </si>
  <si>
    <t>pineapple</t>
  </si>
  <si>
    <t>icecream</t>
  </si>
  <si>
    <t>30/11/2025</t>
  </si>
  <si>
    <t>milk shake</t>
  </si>
  <si>
    <t>01/12/2025</t>
  </si>
  <si>
    <t>EPF</t>
  </si>
  <si>
    <t>Jo matching shirt</t>
  </si>
  <si>
    <t>X-mas decor.</t>
  </si>
  <si>
    <t>02/12/2025</t>
  </si>
  <si>
    <t>Coffee cup</t>
  </si>
  <si>
    <t>Weekly veg</t>
  </si>
  <si>
    <t>3/12/2025</t>
  </si>
  <si>
    <t>Monthly grocery</t>
  </si>
  <si>
    <t>4/12/2025</t>
  </si>
  <si>
    <t>mixture,egg, banana</t>
  </si>
  <si>
    <t>5/12/2025</t>
  </si>
  <si>
    <t>kellogys, milk 2,corn, green chilli</t>
  </si>
  <si>
    <t>mixture,boondi,khata meeta</t>
  </si>
  <si>
    <t>cb</t>
  </si>
  <si>
    <t>From jebi - cc pay</t>
  </si>
  <si>
    <t>Fruits 2 and lettuce</t>
  </si>
  <si>
    <t>Lunch - TMV</t>
  </si>
  <si>
    <t>Icecream 3, coffee powder, ID, Sambrani, egg</t>
  </si>
  <si>
    <t>7/12/2025</t>
  </si>
  <si>
    <t>06/12/2025</t>
  </si>
  <si>
    <t>07/12/2025</t>
  </si>
  <si>
    <t>08/12/2025</t>
  </si>
  <si>
    <t>weekly veg.</t>
  </si>
  <si>
    <t>09/12/2025</t>
  </si>
  <si>
    <t>ear plug</t>
  </si>
  <si>
    <t>pomegranate</t>
  </si>
  <si>
    <t>10/12/2025</t>
  </si>
  <si>
    <t>ID dosa, milk, bread, cucumber</t>
  </si>
  <si>
    <t>mixture</t>
  </si>
  <si>
    <t>To Jo ind. bank</t>
  </si>
  <si>
    <t>Ice cream &amp; chips</t>
  </si>
  <si>
    <t xml:space="preserve"> </t>
  </si>
  <si>
    <t>11/12/2025</t>
  </si>
  <si>
    <t>banana</t>
  </si>
  <si>
    <t>12/12/2025</t>
  </si>
  <si>
    <t>Isabogal</t>
  </si>
  <si>
    <t>Mixture &amp; peanut</t>
  </si>
  <si>
    <t>Tomato, milk &amp; real juice</t>
  </si>
  <si>
    <t>13/12/2025</t>
  </si>
  <si>
    <t>Fam. Dinner</t>
  </si>
  <si>
    <t>Fruits, Yogurt &amp; mayo</t>
  </si>
  <si>
    <t>14/12/2025</t>
  </si>
  <si>
    <t>Weekly veg. &amp; fruits</t>
  </si>
  <si>
    <t>Hot water bag</t>
  </si>
  <si>
    <t>15/12/2025</t>
  </si>
  <si>
    <t>Grace grocery</t>
  </si>
  <si>
    <t>17/12/2025</t>
  </si>
  <si>
    <t>Zepto</t>
  </si>
  <si>
    <t>18/12/2025</t>
  </si>
  <si>
    <t>Donation</t>
  </si>
  <si>
    <t>19/12/2025</t>
  </si>
  <si>
    <t xml:space="preserve">Cab to egmore </t>
  </si>
  <si>
    <t>Bike taxi</t>
  </si>
  <si>
    <t>Gift</t>
  </si>
  <si>
    <t>Anniversary Gift</t>
  </si>
  <si>
    <t>20/12/2025</t>
  </si>
  <si>
    <t>start light</t>
  </si>
  <si>
    <t>swiggy</t>
  </si>
  <si>
    <t>21/12/2025</t>
  </si>
  <si>
    <t>22/12/2025</t>
  </si>
  <si>
    <t>Star light items</t>
  </si>
  <si>
    <t>23/12/2025</t>
  </si>
  <si>
    <t>Christmas carols items &amp; snacks</t>
  </si>
  <si>
    <t>Paper cup &amp; tissue</t>
  </si>
  <si>
    <t>24/12/2025</t>
  </si>
  <si>
    <t>25/12/2025</t>
  </si>
  <si>
    <t>Je crd.</t>
  </si>
  <si>
    <t>from dress bgt.</t>
  </si>
  <si>
    <t>26/12/2025</t>
  </si>
  <si>
    <t>je dad</t>
  </si>
  <si>
    <t>je medicine</t>
  </si>
  <si>
    <t>27/12/2025</t>
  </si>
  <si>
    <t>shopping snack</t>
  </si>
  <si>
    <t>28/12/2025</t>
  </si>
  <si>
    <t>From jebi bible</t>
  </si>
  <si>
    <t>From dress shopping amt.</t>
  </si>
  <si>
    <t>Potato snack</t>
  </si>
  <si>
    <t>29/12/2025</t>
  </si>
  <si>
    <t>Dress shopping amt</t>
  </si>
  <si>
    <t>Maine book</t>
  </si>
  <si>
    <t>Sajay gift</t>
  </si>
  <si>
    <t>30/12/2025</t>
  </si>
  <si>
    <t xml:space="preserve">Facewash </t>
  </si>
  <si>
    <t>Chocolate, sugar, milk</t>
  </si>
  <si>
    <t>Cdm auto</t>
  </si>
  <si>
    <t>01/01/2026</t>
  </si>
  <si>
    <t>02/01/2026</t>
  </si>
  <si>
    <t>CC - power bank</t>
  </si>
  <si>
    <t>CC - multi. vit.</t>
  </si>
  <si>
    <t>Fruits &amp; sweet for virunthu</t>
  </si>
  <si>
    <t>03/01/2026</t>
  </si>
  <si>
    <t>04/01/2026</t>
  </si>
  <si>
    <t xml:space="preserve">Milk, batter, Panner &amp; vegs </t>
  </si>
  <si>
    <t>From dad</t>
  </si>
  <si>
    <t>05/01/2026</t>
  </si>
  <si>
    <t>Nuts &amp; seeds</t>
  </si>
  <si>
    <t>06/01/2026</t>
  </si>
  <si>
    <t>Omega3, d-rice &amp; syrup</t>
  </si>
  <si>
    <t xml:space="preserve">Weekly Vegs </t>
  </si>
  <si>
    <t>Gas delivery</t>
  </si>
  <si>
    <t>07/01/2026</t>
  </si>
  <si>
    <t>Jo office snack</t>
  </si>
  <si>
    <t>Je rc.</t>
  </si>
  <si>
    <t>Je cold medicine</t>
  </si>
  <si>
    <t>plant</t>
  </si>
  <si>
    <t>Perfume</t>
  </si>
  <si>
    <t>dnner</t>
  </si>
  <si>
    <t>08/01/2026</t>
  </si>
  <si>
    <t>breakfast</t>
  </si>
  <si>
    <t>from jebi parents for anniversary</t>
  </si>
  <si>
    <t>annivercery gift</t>
  </si>
  <si>
    <t>Night out</t>
  </si>
  <si>
    <t>Ind. bnk. bal.</t>
  </si>
  <si>
    <t>09/01/2026</t>
  </si>
  <si>
    <t>Total Spend</t>
  </si>
  <si>
    <t>batter, milk &amp; veg.</t>
  </si>
  <si>
    <t>10/01/2026</t>
  </si>
  <si>
    <t>miilk. noodles, sweet &amp; veg</t>
  </si>
  <si>
    <t>from saving</t>
  </si>
  <si>
    <t>11/01/2026</t>
  </si>
  <si>
    <t>facewash</t>
  </si>
  <si>
    <t>chicken</t>
  </si>
  <si>
    <t>snack (mixture)</t>
  </si>
  <si>
    <t>12/01/2026</t>
  </si>
  <si>
    <t>stain remover</t>
  </si>
  <si>
    <t>13/01/2026</t>
  </si>
  <si>
    <t>14/01/2026</t>
  </si>
  <si>
    <t>milk, sugarcan &amp; acide</t>
  </si>
  <si>
    <t>15/01/2026</t>
  </si>
  <si>
    <t>Lunch and parota</t>
  </si>
  <si>
    <t>omega-3</t>
  </si>
  <si>
    <t>17/01/2026</t>
  </si>
  <si>
    <t>Vegs.</t>
  </si>
  <si>
    <t>to maintenance amma</t>
  </si>
  <si>
    <t>18/01/2026</t>
  </si>
  <si>
    <t>Veg. &amp; dates</t>
  </si>
  <si>
    <t>Jo tablet</t>
  </si>
  <si>
    <t>19/01/2026</t>
  </si>
  <si>
    <t>Potato &amp; curd</t>
  </si>
  <si>
    <t>20/01/2026</t>
  </si>
  <si>
    <t xml:space="preserve">Milk 3, Tata coffe, Nissan noodles </t>
  </si>
  <si>
    <t>Grace - Snacks</t>
  </si>
  <si>
    <t>Masoor dal,coriander leaf,milk 3 ,lemon,basmati,mint leaf</t>
  </si>
  <si>
    <t>22/01/2026</t>
  </si>
  <si>
    <t>Curry leaf, snacks,…</t>
  </si>
  <si>
    <t>23/01/2026</t>
  </si>
  <si>
    <t>Curd,cucumber,I'd batter,milk 4,lemon,corn flour, ginger,chicken</t>
  </si>
  <si>
    <t>Lettuce,cheese,bun,sauce</t>
  </si>
  <si>
    <t>Dosa batter &amp; curry leaf</t>
  </si>
  <si>
    <t>24/01/2026</t>
  </si>
  <si>
    <t>Cab to TMV</t>
  </si>
  <si>
    <t>Jebi bike service</t>
  </si>
  <si>
    <t>Fruits</t>
  </si>
  <si>
    <t>From Jebi Parents</t>
  </si>
  <si>
    <t>Jo Bnk. Chg.</t>
  </si>
  <si>
    <t>25/01/2026</t>
  </si>
  <si>
    <t>nuts</t>
  </si>
  <si>
    <t>offering</t>
  </si>
  <si>
    <t>26/01/2026</t>
  </si>
  <si>
    <t>Milk 4,peanut,grapes</t>
  </si>
  <si>
    <t>Burger and lays</t>
  </si>
  <si>
    <t>27/01/2026</t>
  </si>
  <si>
    <t xml:space="preserve">Electric chopper pigeon </t>
  </si>
  <si>
    <t>Jo lipbalm</t>
  </si>
  <si>
    <t>Oil jar 2,timer,hanger,saree cover,mat,sticker,kitchen sponge</t>
  </si>
  <si>
    <t>28/01/2026</t>
  </si>
  <si>
    <t>Ice cream 2, ramen 1,piknik classic, chilli, lemon</t>
  </si>
  <si>
    <t>29/01/2026</t>
  </si>
  <si>
    <t>Lunch -Meals &amp;chat mini</t>
  </si>
  <si>
    <t>30/01/2026</t>
  </si>
  <si>
    <t xml:space="preserve">Milk 3,rusk,yakult </t>
  </si>
  <si>
    <t>Jo birthday gift</t>
  </si>
  <si>
    <t>Protein dosa batter</t>
  </si>
  <si>
    <t>Toilet towel</t>
  </si>
  <si>
    <t>Jo SBI</t>
  </si>
  <si>
    <t>31/01/2026</t>
  </si>
  <si>
    <t>From Jo Ind. Bank.</t>
  </si>
  <si>
    <t>Sibelius and vid d sacked</t>
  </si>
  <si>
    <t xml:space="preserve">Aloo paratha &amp; chana samosa and sandwich </t>
  </si>
  <si>
    <t xml:space="preserve">Skimmed milk, ice cream and milk </t>
  </si>
  <si>
    <t>Icecream tub</t>
  </si>
  <si>
    <t>Refunded for ice cream</t>
  </si>
  <si>
    <t>01/02/2026</t>
  </si>
  <si>
    <t xml:space="preserve">Monthly grocery </t>
  </si>
  <si>
    <t>02/02/2026</t>
  </si>
  <si>
    <t>CC Pay (ticket for x-mas traver)</t>
  </si>
  <si>
    <t>Jo office snacks</t>
  </si>
  <si>
    <t>03/02/2026</t>
  </si>
  <si>
    <t>Yakult +Milk 3+Peanut</t>
  </si>
  <si>
    <t>04/02/2026</t>
  </si>
  <si>
    <t>veg.</t>
  </si>
  <si>
    <t>co</t>
  </si>
  <si>
    <t xml:space="preserve">vegs+besan flour+Milk2+Paneer </t>
  </si>
  <si>
    <t>Je Rc</t>
  </si>
  <si>
    <t>05/02/2026</t>
  </si>
  <si>
    <t>House maintenance</t>
  </si>
  <si>
    <t>Icecream 4 +Milk 1</t>
  </si>
  <si>
    <t>06/02/2026</t>
  </si>
  <si>
    <t>lub</t>
  </si>
  <si>
    <t>07/02/2026</t>
  </si>
  <si>
    <t>sesame oil+milk2+dustbin cover +yakult</t>
  </si>
  <si>
    <t>Wheat rusk 2</t>
  </si>
  <si>
    <t>08/02/2026</t>
  </si>
  <si>
    <t>Diswasher powder +2Note</t>
  </si>
  <si>
    <t>ors 3</t>
  </si>
  <si>
    <t>off.</t>
  </si>
  <si>
    <t>Jo exercise eqpt.</t>
  </si>
  <si>
    <t>09/02/2026</t>
  </si>
  <si>
    <t>Milk, curd, egg &amp; cor. Leaf</t>
  </si>
  <si>
    <t>Tablet for mama</t>
  </si>
  <si>
    <t>Evening Snack - grace</t>
  </si>
  <si>
    <t xml:space="preserve">Kurga </t>
  </si>
  <si>
    <t>je parents</t>
  </si>
  <si>
    <t>10/02/2026</t>
  </si>
  <si>
    <t>curd+mint+ginger+yipee+pluckk mango</t>
  </si>
  <si>
    <t>evening snack</t>
  </si>
  <si>
    <t>11/02/2025</t>
  </si>
  <si>
    <t>sunflower seed</t>
  </si>
  <si>
    <t>milk, strawberry, peanut and chips</t>
  </si>
  <si>
    <t>12/02/2026</t>
  </si>
  <si>
    <t>13/02/2026</t>
  </si>
  <si>
    <t>milk, yakult and sambarani</t>
  </si>
  <si>
    <t>pad</t>
  </si>
  <si>
    <t>icecream and chips</t>
  </si>
  <si>
    <t>pad &amp; cucumber</t>
  </si>
  <si>
    <t>14/02/2026</t>
  </si>
  <si>
    <t>bus snacks</t>
  </si>
  <si>
    <t>bike spare</t>
  </si>
  <si>
    <t>Jo pant alter</t>
  </si>
  <si>
    <t>15/02/2026</t>
  </si>
  <si>
    <t>16/02/2026</t>
  </si>
  <si>
    <t>vegs.</t>
  </si>
  <si>
    <t>Milk powder+chesse</t>
  </si>
  <si>
    <t>Samosa</t>
  </si>
  <si>
    <t>17/02/2026</t>
  </si>
  <si>
    <t xml:space="preserve">Milk 5 + egg </t>
  </si>
  <si>
    <t>ors 6+pomo real+grek yokurt2</t>
  </si>
  <si>
    <t>18/02/2026</t>
  </si>
  <si>
    <t>sope, sambrani and vegs</t>
  </si>
  <si>
    <t>azithromycin</t>
  </si>
  <si>
    <t>auto pay for linkedin premium</t>
  </si>
  <si>
    <t>goat leg</t>
  </si>
  <si>
    <t>19/02/2026</t>
  </si>
  <si>
    <t>20/02/2026</t>
  </si>
  <si>
    <t>Milk2+hand towel</t>
  </si>
  <si>
    <t>Cavins milkshake + ghee mysore pak</t>
  </si>
  <si>
    <t>21/02/2026</t>
  </si>
  <si>
    <t>Nuts, seeds,dry fruits</t>
  </si>
  <si>
    <t>chapati, dosa batter, origani &amp; chilli</t>
  </si>
  <si>
    <t>pea nut and kara boomthi</t>
  </si>
  <si>
    <t>Jo hair cut</t>
  </si>
  <si>
    <t>Je bike insurance</t>
  </si>
  <si>
    <t>22/02/2026</t>
  </si>
  <si>
    <t>24/02/2026</t>
  </si>
  <si>
    <t>daddy lunch balance</t>
  </si>
  <si>
    <t>milk 5, baby spinanch</t>
  </si>
  <si>
    <t xml:space="preserve">chips, veg puff, popsicle fruit </t>
  </si>
  <si>
    <t>bnk. chg.</t>
  </si>
  <si>
    <t>25/02/2026</t>
  </si>
  <si>
    <t>Veg., tea, anti cream</t>
  </si>
  <si>
    <t>26/02/2026</t>
  </si>
  <si>
    <t>27/02/2026</t>
  </si>
  <si>
    <t>honey, cuu, prmo. pen2, tape &amp; kara. po.</t>
  </si>
  <si>
    <t>zepto refund</t>
  </si>
  <si>
    <t>28/02/2026</t>
  </si>
  <si>
    <t>chicken, milk, curd, leafes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</si>
</sst>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₹]#,##0.00"/>
    <numFmt numFmtId="181" formatCode="mm/dd/yyyy"/>
    <numFmt numFmtId="182" formatCode="m/d/yyyy"/>
    <numFmt numFmtId="183" formatCode="mmm\ d"/>
  </numFmts>
  <fonts count="3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rgb="FFFF00FF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434343"/>
      <name val="Arial"/>
      <charset val="134"/>
      <scheme val="minor"/>
    </font>
    <font>
      <b/>
      <sz val="10"/>
      <color rgb="FFFF00FF"/>
      <name val="Arial"/>
      <charset val="134"/>
      <scheme val="minor"/>
    </font>
    <font>
      <i/>
      <sz val="10"/>
      <color theme="1"/>
      <name val="Arial"/>
      <charset val="134"/>
      <scheme val="minor"/>
    </font>
    <font>
      <i/>
      <sz val="10"/>
      <color rgb="FFFF00FF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  <scheme val="minor"/>
    </font>
    <font>
      <i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FF00"/>
      </right>
      <top style="thin">
        <color rgb="FF00FF00"/>
      </top>
      <bottom/>
      <diagonal/>
    </border>
    <border>
      <left/>
      <right style="thin">
        <color rgb="FF00FF00"/>
      </right>
      <top/>
      <bottom/>
      <diagonal/>
    </border>
    <border>
      <left/>
      <right style="thin">
        <color rgb="FF00FF00"/>
      </right>
      <top/>
      <bottom style="thin">
        <color rgb="FF00FF00"/>
      </bottom>
      <diagonal/>
    </border>
    <border>
      <left/>
      <right style="thin">
        <color rgb="FF4A86E8"/>
      </right>
      <top style="thin">
        <color rgb="FF4A86E8"/>
      </top>
      <bottom/>
      <diagonal/>
    </border>
    <border>
      <left/>
      <right style="thin">
        <color rgb="FF4A86E8"/>
      </right>
      <top/>
      <bottom/>
      <diagonal/>
    </border>
    <border>
      <left/>
      <right style="thin">
        <color rgb="FF4A86E8"/>
      </right>
      <top/>
      <bottom style="thin">
        <color rgb="FF4A86E8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7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8" borderId="17" applyNumberFormat="0" applyAlignment="0" applyProtection="0">
      <alignment vertical="center"/>
    </xf>
    <xf numFmtId="0" fontId="24" fillId="19" borderId="18" applyNumberFormat="0" applyAlignment="0" applyProtection="0">
      <alignment vertical="center"/>
    </xf>
    <xf numFmtId="0" fontId="25" fillId="19" borderId="17" applyNumberFormat="0" applyAlignment="0" applyProtection="0">
      <alignment vertical="center"/>
    </xf>
    <xf numFmtId="0" fontId="26" fillId="20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</cellStyleXfs>
  <cellXfs count="250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0" fontId="3" fillId="0" borderId="2" xfId="0" applyFont="1" applyBorder="1"/>
    <xf numFmtId="49" fontId="0" fillId="3" borderId="0" xfId="0" applyNumberFormat="1" applyFont="1" applyFill="1" applyAlignment="1">
      <alignment horizontal="center" vertical="center"/>
    </xf>
    <xf numFmtId="49" fontId="0" fillId="4" borderId="0" xfId="0" applyNumberFormat="1" applyFont="1" applyFill="1" applyAlignment="1">
      <alignment horizontal="center" vertical="center" wrapText="1"/>
    </xf>
    <xf numFmtId="180" fontId="0" fillId="5" borderId="0" xfId="0" applyNumberFormat="1" applyFont="1" applyFill="1" applyAlignment="1">
      <alignment horizontal="center" vertical="center"/>
    </xf>
    <xf numFmtId="180" fontId="0" fillId="6" borderId="0" xfId="0" applyNumberFormat="1" applyFont="1" applyFill="1" applyAlignment="1">
      <alignment horizontal="center" vertical="center"/>
    </xf>
    <xf numFmtId="180" fontId="0" fillId="7" borderId="0" xfId="0" applyNumberFormat="1" applyFont="1" applyFill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0" fontId="0" fillId="4" borderId="0" xfId="0" applyFont="1" applyFill="1"/>
    <xf numFmtId="180" fontId="0" fillId="0" borderId="0" xfId="0" applyNumberFormat="1" applyFont="1" applyAlignment="1"/>
    <xf numFmtId="0" fontId="0" fillId="3" borderId="0" xfId="0" applyFont="1" applyFill="1" applyAlignment="1">
      <alignment horizontal="center"/>
    </xf>
    <xf numFmtId="0" fontId="0" fillId="0" borderId="0" xfId="0" applyFont="1"/>
    <xf numFmtId="49" fontId="4" fillId="4" borderId="0" xfId="0" applyNumberFormat="1" applyFont="1" applyFill="1" applyAlignment="1">
      <alignment horizontal="center" vertical="center" wrapText="1"/>
    </xf>
    <xf numFmtId="180" fontId="4" fillId="5" borderId="0" xfId="0" applyNumberFormat="1" applyFont="1" applyFill="1" applyAlignment="1">
      <alignment horizontal="center" vertical="center"/>
    </xf>
    <xf numFmtId="180" fontId="4" fillId="6" borderId="0" xfId="0" applyNumberFormat="1" applyFont="1" applyFill="1" applyAlignment="1">
      <alignment horizontal="center" vertical="center"/>
    </xf>
    <xf numFmtId="180" fontId="4" fillId="7" borderId="0" xfId="0" applyNumberFormat="1" applyFont="1" applyFill="1" applyAlignment="1">
      <alignment horizontal="center" vertical="center"/>
    </xf>
    <xf numFmtId="180" fontId="0" fillId="4" borderId="0" xfId="0" applyNumberFormat="1" applyFont="1" applyFill="1" applyAlignment="1">
      <alignment horizontal="center" vertical="center"/>
    </xf>
    <xf numFmtId="180" fontId="0" fillId="4" borderId="0" xfId="0" applyNumberFormat="1" applyFont="1" applyFill="1" applyAlignment="1">
      <alignment horizontal="right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0" fillId="4" borderId="3" xfId="0" applyNumberFormat="1" applyFont="1" applyFill="1" applyBorder="1" applyAlignment="1">
      <alignment horizontal="center" vertical="center" wrapText="1"/>
    </xf>
    <xf numFmtId="180" fontId="0" fillId="5" borderId="3" xfId="0" applyNumberFormat="1" applyFont="1" applyFill="1" applyBorder="1" applyAlignment="1">
      <alignment horizontal="center" vertical="center"/>
    </xf>
    <xf numFmtId="180" fontId="0" fillId="6" borderId="3" xfId="0" applyNumberFormat="1" applyFont="1" applyFill="1" applyBorder="1" applyAlignment="1">
      <alignment horizontal="center" vertical="center"/>
    </xf>
    <xf numFmtId="180" fontId="0" fillId="7" borderId="3" xfId="0" applyNumberFormat="1" applyFont="1" applyFill="1" applyBorder="1" applyAlignment="1">
      <alignment horizontal="center" vertical="center"/>
    </xf>
    <xf numFmtId="180" fontId="0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18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/>
    </xf>
    <xf numFmtId="180" fontId="1" fillId="2" borderId="1" xfId="0" applyNumberFormat="1" applyFont="1" applyFill="1" applyBorder="1" applyAlignment="1">
      <alignment horizontal="center" vertical="center" wrapText="1"/>
    </xf>
    <xf numFmtId="180" fontId="1" fillId="2" borderId="4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0" fillId="0" borderId="0" xfId="0" applyFont="1" applyAlignment="1">
      <alignment vertical="center"/>
    </xf>
    <xf numFmtId="180" fontId="0" fillId="0" borderId="0" xfId="0" applyNumberFormat="1" applyFont="1" applyAlignment="1">
      <alignment horizontal="right"/>
    </xf>
    <xf numFmtId="49" fontId="4" fillId="3" borderId="0" xfId="0" applyNumberFormat="1" applyFont="1" applyFill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 wrapText="1"/>
    </xf>
    <xf numFmtId="180" fontId="0" fillId="4" borderId="3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 wrapText="1"/>
    </xf>
    <xf numFmtId="180" fontId="6" fillId="5" borderId="0" xfId="0" applyNumberFormat="1" applyFont="1" applyFill="1" applyAlignment="1">
      <alignment horizontal="center" vertical="center"/>
    </xf>
    <xf numFmtId="180" fontId="6" fillId="6" borderId="0" xfId="0" applyNumberFormat="1" applyFont="1" applyFill="1" applyAlignment="1">
      <alignment horizontal="center" vertical="center"/>
    </xf>
    <xf numFmtId="180" fontId="6" fillId="7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0" fillId="9" borderId="0" xfId="0" applyFont="1" applyFill="1" applyAlignment="1"/>
    <xf numFmtId="180" fontId="0" fillId="10" borderId="0" xfId="0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0" borderId="2" xfId="0" applyFont="1" applyBorder="1" applyAlignment="1"/>
    <xf numFmtId="180" fontId="5" fillId="0" borderId="2" xfId="0" applyNumberFormat="1" applyFont="1" applyBorder="1"/>
    <xf numFmtId="0" fontId="5" fillId="0" borderId="2" xfId="0" applyFont="1" applyBorder="1"/>
    <xf numFmtId="0" fontId="1" fillId="0" borderId="6" xfId="0" applyFont="1" applyBorder="1" applyAlignment="1"/>
    <xf numFmtId="180" fontId="5" fillId="0" borderId="6" xfId="0" applyNumberFormat="1" applyFont="1" applyBorder="1"/>
    <xf numFmtId="0" fontId="5" fillId="0" borderId="6" xfId="0" applyFont="1" applyBorder="1"/>
    <xf numFmtId="0" fontId="1" fillId="11" borderId="6" xfId="0" applyFont="1" applyFill="1" applyBorder="1" applyAlignment="1"/>
    <xf numFmtId="180" fontId="5" fillId="0" borderId="7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5" fillId="4" borderId="0" xfId="0" applyFont="1" applyFill="1" applyAlignment="1"/>
    <xf numFmtId="0" fontId="5" fillId="4" borderId="0" xfId="0" applyFont="1" applyFill="1" applyAlignment="1">
      <alignment horizontal="left"/>
    </xf>
    <xf numFmtId="180" fontId="5" fillId="0" borderId="10" xfId="0" applyNumberFormat="1" applyFont="1" applyBorder="1"/>
    <xf numFmtId="0" fontId="5" fillId="0" borderId="0" xfId="0" applyFont="1" applyAlignment="1"/>
    <xf numFmtId="0" fontId="0" fillId="0" borderId="3" xfId="0" applyFont="1" applyBorder="1"/>
    <xf numFmtId="0" fontId="0" fillId="4" borderId="0" xfId="0" applyFont="1" applyFill="1" applyAlignment="1"/>
    <xf numFmtId="0" fontId="1" fillId="0" borderId="0" xfId="0" applyFont="1" applyAlignment="1">
      <alignment horizontal="center"/>
    </xf>
    <xf numFmtId="0" fontId="3" fillId="0" borderId="11" xfId="0" applyFont="1" applyBorder="1"/>
    <xf numFmtId="0" fontId="5" fillId="0" borderId="6" xfId="0" applyFont="1" applyBorder="1" applyAlignment="1"/>
    <xf numFmtId="0" fontId="3" fillId="0" borderId="12" xfId="0" applyFont="1" applyBorder="1"/>
    <xf numFmtId="0" fontId="1" fillId="10" borderId="6" xfId="0" applyFont="1" applyFill="1" applyBorder="1" applyAlignment="1">
      <alignment horizontal="center"/>
    </xf>
    <xf numFmtId="180" fontId="5" fillId="10" borderId="6" xfId="0" applyNumberFormat="1" applyFont="1" applyFill="1" applyBorder="1"/>
    <xf numFmtId="0" fontId="1" fillId="0" borderId="0" xfId="0" applyFont="1" applyAlignment="1">
      <alignment horizontal="left"/>
    </xf>
    <xf numFmtId="0" fontId="1" fillId="0" borderId="0" xfId="0" applyFont="1"/>
    <xf numFmtId="49" fontId="5" fillId="3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 wrapText="1"/>
    </xf>
    <xf numFmtId="180" fontId="5" fillId="5" borderId="0" xfId="0" applyNumberFormat="1" applyFont="1" applyFill="1" applyAlignment="1">
      <alignment horizontal="center" vertical="center"/>
    </xf>
    <xf numFmtId="180" fontId="5" fillId="6" borderId="0" xfId="0" applyNumberFormat="1" applyFont="1" applyFill="1" applyAlignment="1">
      <alignment horizontal="center" vertical="center"/>
    </xf>
    <xf numFmtId="180" fontId="5" fillId="4" borderId="0" xfId="0" applyNumberFormat="1" applyFont="1" applyFill="1" applyAlignment="1">
      <alignment horizontal="center" vertical="center"/>
    </xf>
    <xf numFmtId="180" fontId="5" fillId="7" borderId="0" xfId="0" applyNumberFormat="1" applyFont="1" applyFill="1" applyAlignment="1">
      <alignment horizontal="center" vertical="center"/>
    </xf>
    <xf numFmtId="180" fontId="5" fillId="0" borderId="0" xfId="0" applyNumberFormat="1" applyFont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180" fontId="5" fillId="5" borderId="3" xfId="0" applyNumberFormat="1" applyFont="1" applyFill="1" applyBorder="1" applyAlignment="1">
      <alignment horizontal="center" vertical="center"/>
    </xf>
    <xf numFmtId="180" fontId="5" fillId="6" borderId="3" xfId="0" applyNumberFormat="1" applyFont="1" applyFill="1" applyBorder="1" applyAlignment="1">
      <alignment horizontal="center" vertical="center"/>
    </xf>
    <xf numFmtId="180" fontId="5" fillId="7" borderId="3" xfId="0" applyNumberFormat="1" applyFont="1" applyFill="1" applyBorder="1" applyAlignment="1">
      <alignment horizontal="center" vertical="center"/>
    </xf>
    <xf numFmtId="180" fontId="5" fillId="0" borderId="3" xfId="0" applyNumberFormat="1" applyFont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49" fontId="5" fillId="3" borderId="13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 wrapText="1"/>
    </xf>
    <xf numFmtId="180" fontId="5" fillId="5" borderId="13" xfId="0" applyNumberFormat="1" applyFont="1" applyFill="1" applyBorder="1" applyAlignment="1">
      <alignment horizontal="center" vertical="center"/>
    </xf>
    <xf numFmtId="180" fontId="5" fillId="6" borderId="13" xfId="0" applyNumberFormat="1" applyFont="1" applyFill="1" applyBorder="1" applyAlignment="1">
      <alignment horizontal="center" vertical="center"/>
    </xf>
    <xf numFmtId="180" fontId="5" fillId="7" borderId="13" xfId="0" applyNumberFormat="1" applyFont="1" applyFill="1" applyBorder="1" applyAlignment="1">
      <alignment horizontal="center" vertical="center"/>
    </xf>
    <xf numFmtId="180" fontId="0" fillId="0" borderId="13" xfId="0" applyNumberFormat="1" applyFont="1" applyBorder="1" applyAlignment="1">
      <alignment horizontal="right" vertical="center"/>
    </xf>
    <xf numFmtId="180" fontId="0" fillId="4" borderId="13" xfId="0" applyNumberFormat="1" applyFont="1" applyFill="1" applyBorder="1" applyAlignment="1">
      <alignment horizontal="right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180" fontId="4" fillId="5" borderId="3" xfId="0" applyNumberFormat="1" applyFont="1" applyFill="1" applyBorder="1" applyAlignment="1">
      <alignment horizontal="center" vertical="center"/>
    </xf>
    <xf numFmtId="180" fontId="4" fillId="6" borderId="3" xfId="0" applyNumberFormat="1" applyFont="1" applyFill="1" applyBorder="1" applyAlignment="1">
      <alignment horizontal="center" vertical="center"/>
    </xf>
    <xf numFmtId="180" fontId="4" fillId="7" borderId="3" xfId="0" applyNumberFormat="1" applyFont="1" applyFill="1" applyBorder="1" applyAlignment="1">
      <alignment horizontal="center" vertical="center"/>
    </xf>
    <xf numFmtId="180" fontId="5" fillId="0" borderId="13" xfId="0" applyNumberFormat="1" applyFont="1" applyBorder="1" applyAlignment="1">
      <alignment horizontal="center" vertical="center"/>
    </xf>
    <xf numFmtId="0" fontId="0" fillId="0" borderId="3" xfId="0" applyFont="1" applyBorder="1" applyAlignment="1"/>
    <xf numFmtId="0" fontId="1" fillId="0" borderId="3" xfId="0" applyFont="1" applyBorder="1" applyAlignment="1">
      <alignment horizontal="right"/>
    </xf>
    <xf numFmtId="180" fontId="1" fillId="0" borderId="3" xfId="0" applyNumberFormat="1" applyFont="1" applyBorder="1" applyAlignment="1">
      <alignment horizontal="right"/>
    </xf>
    <xf numFmtId="180" fontId="7" fillId="0" borderId="3" xfId="0" applyNumberFormat="1" applyFont="1" applyBorder="1" applyAlignment="1">
      <alignment horizontal="right"/>
    </xf>
    <xf numFmtId="180" fontId="0" fillId="0" borderId="13" xfId="0" applyNumberFormat="1" applyFont="1" applyBorder="1" applyAlignment="1">
      <alignment horizontal="right"/>
    </xf>
    <xf numFmtId="180" fontId="5" fillId="0" borderId="0" xfId="0" applyNumberFormat="1" applyFont="1" applyAlignment="1"/>
    <xf numFmtId="180" fontId="0" fillId="0" borderId="3" xfId="0" applyNumberFormat="1" applyFont="1" applyBorder="1" applyAlignment="1">
      <alignment horizontal="right" vertical="center"/>
    </xf>
    <xf numFmtId="180" fontId="0" fillId="4" borderId="3" xfId="0" applyNumberFormat="1" applyFont="1" applyFill="1" applyBorder="1" applyAlignment="1">
      <alignment horizontal="right" vertical="center"/>
    </xf>
    <xf numFmtId="49" fontId="8" fillId="4" borderId="0" xfId="0" applyNumberFormat="1" applyFont="1" applyFill="1" applyAlignment="1">
      <alignment horizontal="center" vertical="center" wrapText="1"/>
    </xf>
    <xf numFmtId="49" fontId="9" fillId="4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0" fontId="5" fillId="4" borderId="3" xfId="0" applyFont="1" applyFill="1" applyBorder="1"/>
    <xf numFmtId="180" fontId="5" fillId="0" borderId="3" xfId="0" applyNumberFormat="1" applyFont="1" applyBorder="1" applyAlignment="1"/>
    <xf numFmtId="49" fontId="8" fillId="4" borderId="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180" fontId="5" fillId="4" borderId="0" xfId="0" applyNumberFormat="1" applyFont="1" applyFill="1" applyAlignment="1">
      <alignment horizontal="right" vertical="center"/>
    </xf>
    <xf numFmtId="180" fontId="0" fillId="0" borderId="3" xfId="0" applyNumberFormat="1" applyFont="1" applyBorder="1" applyAlignment="1">
      <alignment horizontal="right"/>
    </xf>
    <xf numFmtId="0" fontId="5" fillId="0" borderId="3" xfId="0" applyFont="1" applyBorder="1" applyAlignment="1"/>
    <xf numFmtId="0" fontId="5" fillId="0" borderId="0" xfId="0" applyFont="1" applyAlignment="1">
      <alignment horizontal="center" vertical="center"/>
    </xf>
    <xf numFmtId="180" fontId="10" fillId="0" borderId="0" xfId="0" applyNumberFormat="1" applyFont="1" applyAlignment="1">
      <alignment horizontal="right"/>
    </xf>
    <xf numFmtId="180" fontId="10" fillId="0" borderId="0" xfId="0" applyNumberFormat="1" applyFont="1" applyAlignment="1"/>
    <xf numFmtId="180" fontId="5" fillId="4" borderId="0" xfId="0" applyNumberFormat="1" applyFont="1" applyFill="1"/>
    <xf numFmtId="180" fontId="5" fillId="4" borderId="0" xfId="0" applyNumberFormat="1" applyFont="1" applyFill="1" applyAlignment="1"/>
    <xf numFmtId="0" fontId="1" fillId="9" borderId="6" xfId="0" applyFont="1" applyFill="1" applyBorder="1" applyAlignment="1"/>
    <xf numFmtId="180" fontId="0" fillId="0" borderId="0" xfId="0" applyNumberFormat="1" applyFont="1"/>
    <xf numFmtId="180" fontId="11" fillId="7" borderId="0" xfId="0" applyNumberFormat="1" applyFont="1" applyFill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181" fontId="4" fillId="3" borderId="0" xfId="0" applyNumberFormat="1" applyFont="1" applyFill="1" applyAlignment="1">
      <alignment horizontal="center"/>
    </xf>
    <xf numFmtId="49" fontId="0" fillId="12" borderId="0" xfId="0" applyNumberFormat="1" applyFont="1" applyFill="1" applyAlignment="1">
      <alignment horizontal="center" vertical="center" wrapText="1"/>
    </xf>
    <xf numFmtId="49" fontId="0" fillId="5" borderId="0" xfId="0" applyNumberFormat="1" applyFont="1" applyFill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9" fontId="12" fillId="4" borderId="0" xfId="0" applyNumberFormat="1" applyFont="1" applyFill="1" applyAlignment="1">
      <alignment horizontal="center" vertical="center" wrapText="1"/>
    </xf>
    <xf numFmtId="0" fontId="0" fillId="8" borderId="0" xfId="0" applyFont="1" applyFill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4" borderId="3" xfId="0" applyFont="1" applyFill="1" applyBorder="1" applyAlignment="1"/>
    <xf numFmtId="0" fontId="0" fillId="0" borderId="0" xfId="0" applyFont="1" applyAlignment="1">
      <alignment horizontal="center" vertical="center"/>
    </xf>
    <xf numFmtId="180" fontId="13" fillId="0" borderId="0" xfId="0" applyNumberFormat="1" applyFont="1" applyAlignment="1">
      <alignment horizontal="right"/>
    </xf>
    <xf numFmtId="180" fontId="13" fillId="0" borderId="0" xfId="0" applyNumberFormat="1" applyFont="1" applyAlignment="1"/>
    <xf numFmtId="180" fontId="0" fillId="4" borderId="0" xfId="0" applyNumberFormat="1" applyFont="1" applyFill="1"/>
    <xf numFmtId="180" fontId="0" fillId="4" borderId="0" xfId="0" applyNumberFormat="1" applyFont="1" applyFill="1" applyAlignment="1"/>
    <xf numFmtId="180" fontId="0" fillId="0" borderId="3" xfId="0" applyNumberFormat="1" applyFont="1" applyBorder="1"/>
    <xf numFmtId="181" fontId="0" fillId="3" borderId="0" xfId="0" applyNumberFormat="1" applyFont="1" applyFill="1" applyAlignment="1">
      <alignment horizontal="center"/>
    </xf>
    <xf numFmtId="180" fontId="1" fillId="2" borderId="6" xfId="0" applyNumberFormat="1" applyFont="1" applyFill="1" applyBorder="1" applyAlignment="1">
      <alignment horizontal="center" vertical="center"/>
    </xf>
    <xf numFmtId="180" fontId="0" fillId="0" borderId="3" xfId="0" applyNumberFormat="1" applyFont="1" applyBorder="1" applyAlignment="1"/>
    <xf numFmtId="0" fontId="0" fillId="4" borderId="3" xfId="0" applyFont="1" applyFill="1" applyBorder="1"/>
    <xf numFmtId="0" fontId="4" fillId="0" borderId="0" xfId="0" applyFont="1" applyAlignment="1">
      <alignment horizontal="center"/>
    </xf>
    <xf numFmtId="0" fontId="0" fillId="3" borderId="13" xfId="0" applyFont="1" applyFill="1" applyBorder="1" applyAlignment="1">
      <alignment horizontal="center"/>
    </xf>
    <xf numFmtId="49" fontId="0" fillId="4" borderId="13" xfId="0" applyNumberFormat="1" applyFont="1" applyFill="1" applyBorder="1" applyAlignment="1">
      <alignment horizontal="center" vertical="center" wrapText="1"/>
    </xf>
    <xf numFmtId="180" fontId="0" fillId="5" borderId="13" xfId="0" applyNumberFormat="1" applyFont="1" applyFill="1" applyBorder="1" applyAlignment="1">
      <alignment horizontal="center" vertical="center"/>
    </xf>
    <xf numFmtId="180" fontId="0" fillId="6" borderId="13" xfId="0" applyNumberFormat="1" applyFont="1" applyFill="1" applyBorder="1" applyAlignment="1">
      <alignment horizontal="center" vertical="center"/>
    </xf>
    <xf numFmtId="180" fontId="0" fillId="7" borderId="13" xfId="0" applyNumberFormat="1" applyFont="1" applyFill="1" applyBorder="1" applyAlignment="1">
      <alignment horizontal="center" vertical="center"/>
    </xf>
    <xf numFmtId="180" fontId="0" fillId="0" borderId="13" xfId="0" applyNumberFormat="1" applyFont="1" applyBorder="1" applyAlignment="1">
      <alignment horizontal="center" vertical="center"/>
    </xf>
    <xf numFmtId="180" fontId="0" fillId="4" borderId="13" xfId="0" applyNumberFormat="1" applyFont="1" applyFill="1" applyBorder="1" applyAlignment="1">
      <alignment horizontal="center" vertical="center"/>
    </xf>
    <xf numFmtId="0" fontId="0" fillId="0" borderId="13" xfId="0" applyFont="1" applyBorder="1" applyAlignment="1"/>
    <xf numFmtId="0" fontId="5" fillId="0" borderId="0" xfId="0" applyFont="1"/>
    <xf numFmtId="181" fontId="0" fillId="3" borderId="3" xfId="0" applyNumberFormat="1" applyFont="1" applyFill="1" applyBorder="1" applyAlignment="1">
      <alignment horizontal="center"/>
    </xf>
    <xf numFmtId="180" fontId="0" fillId="8" borderId="0" xfId="0" applyNumberFormat="1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5" fillId="0" borderId="3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13" borderId="0" xfId="0" applyNumberFormat="1" applyFont="1" applyFill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/>
    </xf>
    <xf numFmtId="49" fontId="4" fillId="13" borderId="0" xfId="0" applyNumberFormat="1" applyFont="1" applyFill="1" applyAlignment="1">
      <alignment horizontal="center" vertical="center" wrapText="1"/>
    </xf>
    <xf numFmtId="180" fontId="4" fillId="4" borderId="0" xfId="0" applyNumberFormat="1" applyFont="1" applyFill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5" fillId="13" borderId="3" xfId="0" applyNumberFormat="1" applyFont="1" applyFill="1" applyBorder="1" applyAlignment="1">
      <alignment horizontal="center" vertical="center" wrapText="1"/>
    </xf>
    <xf numFmtId="180" fontId="1" fillId="7" borderId="0" xfId="0" applyNumberFormat="1" applyFont="1" applyFill="1" applyAlignment="1">
      <alignment horizontal="center" vertical="center"/>
    </xf>
    <xf numFmtId="180" fontId="5" fillId="0" borderId="0" xfId="0" applyNumberFormat="1" applyFont="1"/>
    <xf numFmtId="181" fontId="5" fillId="0" borderId="0" xfId="0" applyNumberFormat="1" applyFont="1" applyAlignment="1">
      <alignment horizontal="center"/>
    </xf>
    <xf numFmtId="181" fontId="5" fillId="0" borderId="3" xfId="0" applyNumberFormat="1" applyFont="1" applyBorder="1" applyAlignment="1">
      <alignment horizontal="center"/>
    </xf>
    <xf numFmtId="49" fontId="4" fillId="13" borderId="3" xfId="0" applyNumberFormat="1" applyFont="1" applyFill="1" applyBorder="1" applyAlignment="1">
      <alignment horizontal="center" vertical="center" wrapText="1"/>
    </xf>
    <xf numFmtId="180" fontId="4" fillId="4" borderId="3" xfId="0" applyNumberFormat="1" applyFont="1" applyFill="1" applyBorder="1" applyAlignment="1">
      <alignment horizontal="center" vertical="center"/>
    </xf>
    <xf numFmtId="180" fontId="5" fillId="0" borderId="3" xfId="0" applyNumberFormat="1" applyFont="1" applyBorder="1"/>
    <xf numFmtId="49" fontId="9" fillId="13" borderId="0" xfId="0" applyNumberFormat="1" applyFont="1" applyFill="1" applyAlignment="1">
      <alignment horizontal="center" vertical="center" wrapText="1"/>
    </xf>
    <xf numFmtId="181" fontId="5" fillId="4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 vertical="center"/>
    </xf>
    <xf numFmtId="181" fontId="4" fillId="0" borderId="0" xfId="0" applyNumberFormat="1" applyFont="1" applyAlignment="1">
      <alignment horizontal="center"/>
    </xf>
    <xf numFmtId="180" fontId="5" fillId="4" borderId="3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180" fontId="1" fillId="7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49" fontId="5" fillId="8" borderId="0" xfId="0" applyNumberFormat="1" applyFont="1" applyFill="1" applyAlignment="1">
      <alignment horizontal="center" vertical="center" wrapText="1"/>
    </xf>
    <xf numFmtId="0" fontId="5" fillId="4" borderId="3" xfId="0" applyFont="1" applyFill="1" applyBorder="1" applyAlignment="1"/>
    <xf numFmtId="0" fontId="1" fillId="0" borderId="0" xfId="0" applyFont="1" applyAlignment="1"/>
    <xf numFmtId="49" fontId="0" fillId="4" borderId="0" xfId="0" applyNumberFormat="1" applyFont="1" applyFill="1" applyAlignment="1">
      <alignment horizontal="center" vertical="center"/>
    </xf>
    <xf numFmtId="49" fontId="0" fillId="13" borderId="0" xfId="0" applyNumberFormat="1" applyFont="1" applyFill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 wrapText="1"/>
    </xf>
    <xf numFmtId="180" fontId="10" fillId="4" borderId="3" xfId="0" applyNumberFormat="1" applyFont="1" applyFill="1" applyBorder="1" applyAlignment="1">
      <alignment horizontal="center"/>
    </xf>
    <xf numFmtId="180" fontId="10" fillId="4" borderId="3" xfId="0" applyNumberFormat="1" applyFont="1" applyFill="1" applyBorder="1"/>
    <xf numFmtId="0" fontId="4" fillId="0" borderId="0" xfId="0" applyFont="1"/>
    <xf numFmtId="180" fontId="10" fillId="0" borderId="3" xfId="0" applyNumberFormat="1" applyFont="1" applyBorder="1" applyAlignment="1">
      <alignment horizontal="right"/>
    </xf>
    <xf numFmtId="180" fontId="10" fillId="0" borderId="3" xfId="0" applyNumberFormat="1" applyFont="1" applyBorder="1" applyAlignment="1"/>
    <xf numFmtId="49" fontId="0" fillId="4" borderId="3" xfId="0" applyNumberFormat="1" applyFont="1" applyFill="1" applyBorder="1" applyAlignment="1">
      <alignment horizontal="center" vertical="center"/>
    </xf>
    <xf numFmtId="49" fontId="0" fillId="13" borderId="3" xfId="0" applyNumberFormat="1" applyFont="1" applyFill="1" applyBorder="1" applyAlignment="1">
      <alignment horizontal="center" vertical="center" wrapText="1"/>
    </xf>
    <xf numFmtId="181" fontId="0" fillId="4" borderId="0" xfId="0" applyNumberFormat="1" applyFont="1" applyFill="1" applyAlignment="1">
      <alignment horizontal="center"/>
    </xf>
    <xf numFmtId="180" fontId="10" fillId="4" borderId="0" xfId="0" applyNumberFormat="1" applyFont="1" applyFill="1" applyAlignment="1">
      <alignment horizontal="center"/>
    </xf>
    <xf numFmtId="180" fontId="10" fillId="4" borderId="0" xfId="0" applyNumberFormat="1" applyFont="1" applyFill="1"/>
    <xf numFmtId="182" fontId="5" fillId="4" borderId="0" xfId="0" applyNumberFormat="1" applyFont="1" applyFill="1" applyAlignment="1">
      <alignment horizontal="center"/>
    </xf>
    <xf numFmtId="0" fontId="5" fillId="4" borderId="13" xfId="0" applyFont="1" applyFill="1" applyBorder="1" applyAlignment="1">
      <alignment horizontal="center"/>
    </xf>
    <xf numFmtId="49" fontId="5" fillId="13" borderId="13" xfId="0" applyNumberFormat="1" applyFont="1" applyFill="1" applyBorder="1" applyAlignment="1">
      <alignment horizontal="center" vertical="center" wrapText="1"/>
    </xf>
    <xf numFmtId="180" fontId="5" fillId="4" borderId="13" xfId="0" applyNumberFormat="1" applyFont="1" applyFill="1" applyBorder="1" applyAlignment="1">
      <alignment horizontal="center" vertical="center"/>
    </xf>
    <xf numFmtId="180" fontId="10" fillId="0" borderId="13" xfId="0" applyNumberFormat="1" applyFont="1" applyBorder="1" applyAlignment="1">
      <alignment horizontal="right"/>
    </xf>
    <xf numFmtId="180" fontId="10" fillId="0" borderId="13" xfId="0" applyNumberFormat="1" applyFont="1" applyBorder="1" applyAlignment="1"/>
    <xf numFmtId="0" fontId="5" fillId="4" borderId="13" xfId="0" applyFont="1" applyFill="1" applyBorder="1"/>
    <xf numFmtId="183" fontId="5" fillId="4" borderId="3" xfId="0" applyNumberFormat="1" applyFont="1" applyFill="1" applyBorder="1" applyAlignment="1"/>
    <xf numFmtId="183" fontId="5" fillId="4" borderId="0" xfId="0" applyNumberFormat="1" applyFont="1" applyFill="1" applyAlignment="1"/>
    <xf numFmtId="0" fontId="5" fillId="0" borderId="13" xfId="0" applyFont="1" applyBorder="1"/>
    <xf numFmtId="49" fontId="5" fillId="13" borderId="0" xfId="0" applyNumberFormat="1" applyFont="1" applyFill="1" applyAlignment="1">
      <alignment horizontal="center" vertical="center"/>
    </xf>
    <xf numFmtId="181" fontId="5" fillId="0" borderId="0" xfId="0" applyNumberFormat="1" applyFont="1" applyAlignment="1"/>
    <xf numFmtId="49" fontId="4" fillId="13" borderId="0" xfId="0" applyNumberFormat="1" applyFont="1" applyFill="1" applyAlignment="1">
      <alignment horizontal="center" vertical="center"/>
    </xf>
    <xf numFmtId="49" fontId="5" fillId="8" borderId="0" xfId="0" applyNumberFormat="1" applyFont="1" applyFill="1" applyAlignment="1">
      <alignment horizontal="center" vertical="center"/>
    </xf>
    <xf numFmtId="49" fontId="5" fillId="13" borderId="3" xfId="0" applyNumberFormat="1" applyFont="1" applyFill="1" applyBorder="1" applyAlignment="1">
      <alignment horizontal="center" vertical="center"/>
    </xf>
    <xf numFmtId="180" fontId="5" fillId="4" borderId="3" xfId="0" applyNumberFormat="1" applyFont="1" applyFill="1" applyBorder="1"/>
    <xf numFmtId="49" fontId="4" fillId="13" borderId="3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13" borderId="13" xfId="0" applyNumberFormat="1" applyFont="1" applyFill="1" applyBorder="1" applyAlignment="1">
      <alignment horizontal="center" vertical="center"/>
    </xf>
    <xf numFmtId="180" fontId="5" fillId="0" borderId="13" xfId="0" applyNumberFormat="1" applyFont="1" applyBorder="1"/>
    <xf numFmtId="0" fontId="5" fillId="0" borderId="13" xfId="0" applyFont="1" applyBorder="1" applyAlignment="1"/>
    <xf numFmtId="180" fontId="5" fillId="0" borderId="13" xfId="0" applyNumberFormat="1" applyFont="1" applyBorder="1" applyAlignment="1"/>
    <xf numFmtId="180" fontId="5" fillId="4" borderId="3" xfId="0" applyNumberFormat="1" applyFont="1" applyFill="1" applyBorder="1" applyAlignment="1"/>
    <xf numFmtId="181" fontId="5" fillId="4" borderId="3" xfId="0" applyNumberFormat="1" applyFont="1" applyFill="1" applyBorder="1" applyAlignment="1">
      <alignment horizontal="center"/>
    </xf>
    <xf numFmtId="183" fontId="5" fillId="4" borderId="0" xfId="0" applyNumberFormat="1" applyFont="1" applyFill="1" applyAlignment="1">
      <alignment horizontal="center" vertical="center"/>
    </xf>
    <xf numFmtId="4" fontId="5" fillId="4" borderId="0" xfId="0" applyNumberFormat="1" applyFont="1" applyFill="1" applyAlignment="1"/>
    <xf numFmtId="0" fontId="0" fillId="4" borderId="0" xfId="0" applyFont="1" applyFill="1" applyAlignment="1">
      <alignment horizontal="center"/>
    </xf>
    <xf numFmtId="49" fontId="0" fillId="13" borderId="0" xfId="0" applyNumberFormat="1" applyFont="1" applyFill="1" applyAlignment="1">
      <alignment horizontal="center" vertical="center"/>
    </xf>
    <xf numFmtId="49" fontId="0" fillId="13" borderId="3" xfId="0" applyNumberFormat="1" applyFont="1" applyFill="1" applyBorder="1" applyAlignment="1">
      <alignment horizontal="center" vertical="center"/>
    </xf>
    <xf numFmtId="49" fontId="0" fillId="8" borderId="0" xfId="0" applyNumberFormat="1" applyFont="1" applyFill="1" applyAlignment="1">
      <alignment horizontal="center" vertical="center"/>
    </xf>
    <xf numFmtId="4" fontId="0" fillId="4" borderId="0" xfId="0" applyNumberFormat="1" applyFont="1" applyFill="1" applyAlignment="1"/>
    <xf numFmtId="0" fontId="0" fillId="4" borderId="3" xfId="0" applyFont="1" applyFill="1" applyBorder="1" applyAlignment="1">
      <alignment horizontal="center"/>
    </xf>
    <xf numFmtId="181" fontId="4" fillId="4" borderId="0" xfId="0" applyNumberFormat="1" applyFont="1" applyFill="1" applyAlignment="1">
      <alignment horizontal="center"/>
    </xf>
    <xf numFmtId="0" fontId="4" fillId="4" borderId="0" xfId="0" applyFont="1" applyFill="1"/>
    <xf numFmtId="183" fontId="0" fillId="4" borderId="0" xfId="0" applyNumberFormat="1" applyFont="1" applyFill="1" applyAlignment="1"/>
    <xf numFmtId="49" fontId="5" fillId="14" borderId="0" xfId="0" applyNumberFormat="1" applyFont="1" applyFill="1" applyAlignment="1">
      <alignment horizontal="center" vertical="center"/>
    </xf>
    <xf numFmtId="180" fontId="5" fillId="12" borderId="0" xfId="0" applyNumberFormat="1" applyFont="1" applyFill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14" borderId="3" xfId="0" applyNumberFormat="1" applyFont="1" applyFill="1" applyBorder="1" applyAlignment="1">
      <alignment horizontal="center" vertical="center"/>
    </xf>
    <xf numFmtId="180" fontId="5" fillId="12" borderId="3" xfId="0" applyNumberFormat="1" applyFont="1" applyFill="1" applyBorder="1" applyAlignment="1">
      <alignment horizontal="center" vertical="center"/>
    </xf>
    <xf numFmtId="4" fontId="5" fillId="0" borderId="0" xfId="0" applyNumberFormat="1" applyFont="1"/>
    <xf numFmtId="182" fontId="5" fillId="0" borderId="0" xfId="0" applyNumberFormat="1" applyFont="1" applyAlignment="1"/>
    <xf numFmtId="4" fontId="5" fillId="0" borderId="0" xfId="0" applyNumberFormat="1" applyFont="1" applyAlignment="1"/>
    <xf numFmtId="183" fontId="5" fillId="0" borderId="0" xfId="0" applyNumberFormat="1" applyFont="1" applyAlignment="1"/>
    <xf numFmtId="181" fontId="5" fillId="0" borderId="3" xfId="0" applyNumberFormat="1" applyFont="1" applyBorder="1" applyAlignment="1"/>
    <xf numFmtId="49" fontId="5" fillId="15" borderId="0" xfId="0" applyNumberFormat="1" applyFont="1" applyFill="1" applyAlignment="1">
      <alignment horizontal="center" vertical="center"/>
    </xf>
    <xf numFmtId="49" fontId="5" fillId="16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1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3">
      <c r="A1" s="163" t="s">
        <v>0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164" t="s">
        <v>13</v>
      </c>
      <c r="B3" s="164"/>
      <c r="C3" s="238" t="s">
        <v>14</v>
      </c>
      <c r="D3" s="75"/>
      <c r="E3" s="239">
        <v>33199</v>
      </c>
      <c r="F3" s="78"/>
      <c r="G3" s="79">
        <f>E3-F3</f>
        <v>33199</v>
      </c>
      <c r="H3" s="79"/>
      <c r="I3" s="77"/>
      <c r="J3" s="77"/>
      <c r="K3" s="77"/>
      <c r="L3" s="77"/>
      <c r="M3" s="77"/>
    </row>
    <row r="4" customHeight="1" spans="1:13">
      <c r="A4" s="164"/>
      <c r="B4" s="164"/>
      <c r="C4" s="238" t="s">
        <v>15</v>
      </c>
      <c r="D4" s="75"/>
      <c r="E4" s="239">
        <v>53462.42</v>
      </c>
      <c r="F4" s="78"/>
      <c r="G4" s="79">
        <f t="shared" ref="G4:G111" si="0">(E4-F4)+G3</f>
        <v>86661.42</v>
      </c>
      <c r="H4" s="79"/>
      <c r="I4" s="77"/>
      <c r="J4" s="77"/>
      <c r="K4" s="77"/>
      <c r="L4" s="77"/>
      <c r="M4" s="77"/>
    </row>
    <row r="5" customHeight="1" spans="1:13">
      <c r="A5" s="164"/>
      <c r="B5" s="164"/>
      <c r="C5" s="238" t="s">
        <v>16</v>
      </c>
      <c r="D5" s="75"/>
      <c r="E5" s="239"/>
      <c r="F5" s="78">
        <v>100</v>
      </c>
      <c r="G5" s="79">
        <f t="shared" si="0"/>
        <v>86561.42</v>
      </c>
      <c r="H5" s="79"/>
      <c r="I5" s="77"/>
      <c r="J5" s="77"/>
      <c r="K5" s="77"/>
      <c r="L5" s="77"/>
      <c r="M5" s="77"/>
    </row>
    <row r="6" customHeight="1" spans="1:13">
      <c r="A6" s="164"/>
      <c r="B6" s="164"/>
      <c r="C6" s="238" t="s">
        <v>17</v>
      </c>
      <c r="D6" s="75"/>
      <c r="E6" s="239"/>
      <c r="F6" s="78">
        <v>120</v>
      </c>
      <c r="G6" s="79">
        <f t="shared" si="0"/>
        <v>86441.42</v>
      </c>
      <c r="H6" s="79"/>
      <c r="I6" s="77"/>
      <c r="J6" s="77"/>
      <c r="K6" s="77"/>
      <c r="L6" s="77"/>
      <c r="M6" s="77"/>
    </row>
    <row r="7" customHeight="1" spans="1:13">
      <c r="A7" s="164"/>
      <c r="B7" s="164"/>
      <c r="C7" s="238" t="s">
        <v>18</v>
      </c>
      <c r="D7" s="75"/>
      <c r="E7" s="239"/>
      <c r="F7" s="78">
        <v>20</v>
      </c>
      <c r="G7" s="79">
        <f t="shared" si="0"/>
        <v>86421.42</v>
      </c>
      <c r="H7" s="79"/>
      <c r="I7" s="77"/>
      <c r="J7" s="77"/>
      <c r="K7" s="77"/>
      <c r="L7" s="77"/>
      <c r="M7" s="77"/>
    </row>
    <row r="8" customHeight="1" spans="1:13">
      <c r="A8" s="164"/>
      <c r="B8" s="164"/>
      <c r="C8" s="238" t="s">
        <v>19</v>
      </c>
      <c r="D8" s="75"/>
      <c r="E8" s="239"/>
      <c r="F8" s="78">
        <v>45</v>
      </c>
      <c r="G8" s="79">
        <f t="shared" si="0"/>
        <v>86376.42</v>
      </c>
      <c r="H8" s="79"/>
      <c r="I8" s="77"/>
      <c r="J8" s="77"/>
      <c r="K8" s="77"/>
      <c r="L8" s="77"/>
      <c r="M8" s="77"/>
    </row>
    <row r="9" customHeight="1" spans="1:13">
      <c r="A9" s="164"/>
      <c r="B9" s="164"/>
      <c r="C9" s="238" t="s">
        <v>20</v>
      </c>
      <c r="D9" s="75"/>
      <c r="E9" s="239"/>
      <c r="F9" s="78">
        <v>125</v>
      </c>
      <c r="G9" s="79">
        <f t="shared" si="0"/>
        <v>86251.42</v>
      </c>
      <c r="H9" s="79"/>
      <c r="I9" s="77"/>
      <c r="J9" s="77"/>
      <c r="K9" s="77"/>
      <c r="L9" s="77"/>
      <c r="M9" s="77"/>
    </row>
    <row r="10" customHeight="1" spans="1:13">
      <c r="A10" s="164"/>
      <c r="B10" s="164"/>
      <c r="C10" s="238" t="s">
        <v>21</v>
      </c>
      <c r="D10" s="75"/>
      <c r="E10" s="239"/>
      <c r="F10" s="78">
        <v>1090</v>
      </c>
      <c r="G10" s="79">
        <f t="shared" si="0"/>
        <v>85161.42</v>
      </c>
      <c r="H10" s="79"/>
      <c r="I10" s="77"/>
      <c r="J10" s="77"/>
      <c r="K10" s="77"/>
      <c r="L10" s="77"/>
      <c r="M10" s="77"/>
    </row>
    <row r="11" customHeight="1" spans="1:13">
      <c r="A11" s="164"/>
      <c r="B11" s="164"/>
      <c r="C11" s="238" t="s">
        <v>22</v>
      </c>
      <c r="D11" s="75"/>
      <c r="E11" s="239"/>
      <c r="F11" s="78">
        <v>228</v>
      </c>
      <c r="G11" s="79">
        <f t="shared" si="0"/>
        <v>84933.42</v>
      </c>
      <c r="H11" s="79"/>
      <c r="I11" s="77"/>
      <c r="J11" s="77"/>
      <c r="K11" s="77"/>
      <c r="L11" s="77"/>
      <c r="M11" s="77"/>
    </row>
    <row r="12" customHeight="1" spans="1:13">
      <c r="A12" s="164"/>
      <c r="B12" s="164"/>
      <c r="C12" s="238" t="s">
        <v>23</v>
      </c>
      <c r="D12" s="75"/>
      <c r="E12" s="239">
        <v>12</v>
      </c>
      <c r="F12" s="78"/>
      <c r="G12" s="79">
        <f t="shared" si="0"/>
        <v>84945.42</v>
      </c>
      <c r="H12" s="79"/>
      <c r="I12" s="77"/>
      <c r="J12" s="77"/>
      <c r="K12" s="77"/>
      <c r="L12" s="77"/>
      <c r="M12" s="77"/>
    </row>
    <row r="13" customHeight="1" spans="1:13">
      <c r="A13" s="214">
        <v>45331</v>
      </c>
      <c r="C13" s="238" t="s">
        <v>24</v>
      </c>
      <c r="D13" s="75"/>
      <c r="E13" s="239"/>
      <c r="F13" s="78">
        <v>9000</v>
      </c>
      <c r="G13" s="79">
        <f t="shared" si="0"/>
        <v>75945.42</v>
      </c>
      <c r="H13" s="79"/>
      <c r="I13" s="77"/>
      <c r="J13" s="77"/>
      <c r="K13" s="77"/>
      <c r="L13" s="77"/>
      <c r="M13" s="77"/>
    </row>
    <row r="14" customHeight="1" spans="1:13">
      <c r="A14" s="164"/>
      <c r="B14" s="164"/>
      <c r="C14" s="238" t="s">
        <v>25</v>
      </c>
      <c r="D14" s="75"/>
      <c r="E14" s="239"/>
      <c r="F14" s="78">
        <v>22810</v>
      </c>
      <c r="G14" s="79">
        <f t="shared" si="0"/>
        <v>53135.42</v>
      </c>
      <c r="H14" s="79"/>
      <c r="I14" s="77"/>
      <c r="J14" s="77"/>
      <c r="K14" s="77"/>
      <c r="L14" s="77"/>
      <c r="M14" s="77"/>
    </row>
    <row r="15" customHeight="1" spans="1:7">
      <c r="A15" s="164" t="s">
        <v>26</v>
      </c>
      <c r="B15" s="164"/>
      <c r="C15" s="238" t="s">
        <v>27</v>
      </c>
      <c r="D15" s="75"/>
      <c r="E15" s="239"/>
      <c r="F15" s="78">
        <v>261</v>
      </c>
      <c r="G15" s="79">
        <f t="shared" si="0"/>
        <v>52874.42</v>
      </c>
    </row>
    <row r="16" customHeight="1" spans="1:13">
      <c r="A16" s="164"/>
      <c r="B16" s="164"/>
      <c r="C16" s="238" t="s">
        <v>27</v>
      </c>
      <c r="D16" s="75"/>
      <c r="E16" s="239"/>
      <c r="F16" s="78">
        <v>25</v>
      </c>
      <c r="G16" s="79">
        <f t="shared" si="0"/>
        <v>52849.42</v>
      </c>
      <c r="H16" s="79"/>
      <c r="I16" s="77"/>
      <c r="J16" s="77"/>
      <c r="K16" s="77"/>
      <c r="L16" s="77"/>
      <c r="M16" s="77"/>
    </row>
    <row r="17" customHeight="1" spans="1:13">
      <c r="A17" s="164"/>
      <c r="B17" s="164"/>
      <c r="C17" s="238" t="s">
        <v>20</v>
      </c>
      <c r="D17" s="75"/>
      <c r="E17" s="239"/>
      <c r="F17" s="78">
        <v>335</v>
      </c>
      <c r="G17" s="79">
        <f t="shared" si="0"/>
        <v>52514.42</v>
      </c>
      <c r="H17" s="79"/>
      <c r="I17" s="77"/>
      <c r="J17" s="77"/>
      <c r="K17" s="77"/>
      <c r="L17" s="77"/>
      <c r="M17" s="77"/>
    </row>
    <row r="18" customHeight="1" spans="1:7">
      <c r="A18" s="164"/>
      <c r="B18" s="164"/>
      <c r="C18" s="238" t="s">
        <v>27</v>
      </c>
      <c r="D18" s="75"/>
      <c r="E18" s="239"/>
      <c r="F18" s="78">
        <v>83</v>
      </c>
      <c r="G18" s="79">
        <f t="shared" si="0"/>
        <v>52431.42</v>
      </c>
    </row>
    <row r="19" customHeight="1" spans="1:13">
      <c r="A19" s="164"/>
      <c r="B19" s="164"/>
      <c r="C19" s="238"/>
      <c r="D19" s="75"/>
      <c r="E19" s="239"/>
      <c r="F19" s="78">
        <v>15000</v>
      </c>
      <c r="G19" s="79">
        <f t="shared" si="0"/>
        <v>37431.42</v>
      </c>
      <c r="H19" s="79"/>
      <c r="I19" s="77"/>
      <c r="J19" s="77"/>
      <c r="K19" s="77"/>
      <c r="L19" s="77"/>
      <c r="M19" s="77"/>
    </row>
    <row r="20" customHeight="1" spans="1:13">
      <c r="A20" s="164"/>
      <c r="B20" s="164"/>
      <c r="C20" s="238" t="s">
        <v>28</v>
      </c>
      <c r="D20" s="75"/>
      <c r="E20" s="239"/>
      <c r="F20" s="78">
        <v>10000</v>
      </c>
      <c r="G20" s="79">
        <f t="shared" si="0"/>
        <v>27431.42</v>
      </c>
      <c r="H20" s="79"/>
      <c r="I20" s="77"/>
      <c r="J20" s="77"/>
      <c r="K20" s="77"/>
      <c r="L20" s="77"/>
      <c r="M20" s="77"/>
    </row>
    <row r="21" customHeight="1" spans="1:7">
      <c r="A21" s="164"/>
      <c r="B21" s="164"/>
      <c r="C21" s="238" t="s">
        <v>29</v>
      </c>
      <c r="D21" s="75"/>
      <c r="E21" s="239"/>
      <c r="F21" s="78">
        <v>10000</v>
      </c>
      <c r="G21" s="79">
        <f t="shared" si="0"/>
        <v>17431.42</v>
      </c>
    </row>
    <row r="22" customHeight="1" spans="1:13">
      <c r="A22" s="164"/>
      <c r="B22" s="164"/>
      <c r="C22" s="238" t="s">
        <v>27</v>
      </c>
      <c r="D22" s="75"/>
      <c r="E22" s="239"/>
      <c r="F22" s="78">
        <v>110</v>
      </c>
      <c r="G22" s="79">
        <f t="shared" si="0"/>
        <v>17321.42</v>
      </c>
      <c r="H22" s="79"/>
      <c r="I22" s="77"/>
      <c r="J22" s="77"/>
      <c r="K22" s="77"/>
      <c r="L22" s="77"/>
      <c r="M22" s="77"/>
    </row>
    <row r="23" customHeight="1" spans="1:13">
      <c r="A23" s="164"/>
      <c r="B23" s="164"/>
      <c r="C23" s="238" t="s">
        <v>30</v>
      </c>
      <c r="D23" s="75"/>
      <c r="E23" s="239"/>
      <c r="F23" s="78">
        <v>45</v>
      </c>
      <c r="G23" s="79">
        <f t="shared" si="0"/>
        <v>17276.42</v>
      </c>
      <c r="H23" s="79"/>
      <c r="I23" s="77"/>
      <c r="J23" s="77"/>
      <c r="K23" s="77"/>
      <c r="L23" s="77"/>
      <c r="M23" s="77"/>
    </row>
    <row r="24" customHeight="1" spans="1:7">
      <c r="A24" s="164"/>
      <c r="B24" s="164"/>
      <c r="C24" s="238" t="s">
        <v>31</v>
      </c>
      <c r="D24" s="75"/>
      <c r="E24" s="239"/>
      <c r="F24" s="78">
        <v>270</v>
      </c>
      <c r="G24" s="79">
        <f t="shared" si="0"/>
        <v>17006.42</v>
      </c>
    </row>
    <row r="25" customHeight="1" spans="1:13">
      <c r="A25" s="164"/>
      <c r="B25" s="164"/>
      <c r="C25" s="238" t="s">
        <v>27</v>
      </c>
      <c r="D25" s="75"/>
      <c r="E25" s="239"/>
      <c r="F25" s="78">
        <v>748.75</v>
      </c>
      <c r="G25" s="79">
        <f t="shared" si="0"/>
        <v>16257.67</v>
      </c>
      <c r="H25" s="79"/>
      <c r="I25" s="77"/>
      <c r="J25" s="77"/>
      <c r="K25" s="77"/>
      <c r="L25" s="77"/>
      <c r="M25" s="77"/>
    </row>
    <row r="26" customHeight="1" spans="1:13">
      <c r="A26" s="164"/>
      <c r="B26" s="164"/>
      <c r="C26" s="238" t="s">
        <v>27</v>
      </c>
      <c r="D26" s="75"/>
      <c r="E26" s="239"/>
      <c r="F26" s="78">
        <v>48</v>
      </c>
      <c r="G26" s="79">
        <f t="shared" si="0"/>
        <v>16209.67</v>
      </c>
      <c r="H26" s="79"/>
      <c r="I26" s="77"/>
      <c r="J26" s="77"/>
      <c r="K26" s="77"/>
      <c r="L26" s="77"/>
      <c r="M26" s="77"/>
    </row>
    <row r="27" customHeight="1" spans="1:13">
      <c r="A27" s="164"/>
      <c r="B27" s="164"/>
      <c r="C27" s="238" t="s">
        <v>27</v>
      </c>
      <c r="D27" s="75"/>
      <c r="E27" s="239"/>
      <c r="F27" s="78">
        <v>35</v>
      </c>
      <c r="G27" s="79">
        <f t="shared" si="0"/>
        <v>16174.67</v>
      </c>
      <c r="H27" s="79"/>
      <c r="I27" s="77"/>
      <c r="J27" s="77"/>
      <c r="K27" s="77"/>
      <c r="L27" s="77"/>
      <c r="M27" s="77"/>
    </row>
    <row r="28" customHeight="1" spans="1:13">
      <c r="A28" s="164"/>
      <c r="B28" s="164"/>
      <c r="C28" s="238" t="s">
        <v>32</v>
      </c>
      <c r="D28" s="75"/>
      <c r="E28" s="239"/>
      <c r="F28" s="78">
        <v>1000</v>
      </c>
      <c r="G28" s="79">
        <f t="shared" si="0"/>
        <v>15174.67</v>
      </c>
      <c r="H28" s="79"/>
      <c r="I28" s="77"/>
      <c r="J28" s="77"/>
      <c r="K28" s="77"/>
      <c r="L28" s="77"/>
      <c r="M28" s="77"/>
    </row>
    <row r="29" customHeight="1" spans="1:13">
      <c r="A29" s="164"/>
      <c r="B29" s="164"/>
      <c r="C29" s="238" t="s">
        <v>27</v>
      </c>
      <c r="D29" s="75"/>
      <c r="E29" s="239"/>
      <c r="F29" s="78">
        <v>143</v>
      </c>
      <c r="G29" s="79">
        <f t="shared" si="0"/>
        <v>15031.67</v>
      </c>
      <c r="H29" s="79"/>
      <c r="I29" s="77"/>
      <c r="J29" s="77"/>
      <c r="K29" s="77"/>
      <c r="L29" s="77"/>
      <c r="M29" s="77"/>
    </row>
    <row r="30" customHeight="1" spans="1:13">
      <c r="A30" s="164"/>
      <c r="B30" s="164"/>
      <c r="C30" s="238" t="s">
        <v>27</v>
      </c>
      <c r="D30" s="75"/>
      <c r="E30" s="239"/>
      <c r="F30" s="78">
        <v>74</v>
      </c>
      <c r="G30" s="79">
        <f t="shared" si="0"/>
        <v>14957.67</v>
      </c>
      <c r="H30" s="79"/>
      <c r="I30" s="77"/>
      <c r="J30" s="77"/>
      <c r="K30" s="77"/>
      <c r="L30" s="77"/>
      <c r="M30" s="77"/>
    </row>
    <row r="31" customHeight="1" spans="1:7">
      <c r="A31" s="164"/>
      <c r="B31" s="164"/>
      <c r="C31" s="238" t="s">
        <v>33</v>
      </c>
      <c r="D31" s="75"/>
      <c r="E31" s="239"/>
      <c r="F31" s="78">
        <v>100</v>
      </c>
      <c r="G31" s="79">
        <f t="shared" si="0"/>
        <v>14857.67</v>
      </c>
    </row>
    <row r="32" customHeight="1" spans="3:7">
      <c r="C32" s="238" t="s">
        <v>34</v>
      </c>
      <c r="D32" s="75"/>
      <c r="E32" s="239"/>
      <c r="F32" s="78">
        <v>75</v>
      </c>
      <c r="G32" s="79">
        <f t="shared" si="0"/>
        <v>14782.67</v>
      </c>
    </row>
    <row r="33" customHeight="1" spans="1:13">
      <c r="A33" s="214">
        <v>45482</v>
      </c>
      <c r="C33" s="216" t="s">
        <v>35</v>
      </c>
      <c r="D33" s="75"/>
      <c r="E33" s="239"/>
      <c r="F33" s="78">
        <v>97</v>
      </c>
      <c r="G33" s="79">
        <f t="shared" si="0"/>
        <v>14685.67</v>
      </c>
      <c r="H33" s="79">
        <f>I33+J33+K33+L33+M33</f>
        <v>14685.67</v>
      </c>
      <c r="I33" s="77">
        <v>0</v>
      </c>
      <c r="J33" s="77">
        <v>10517.95</v>
      </c>
      <c r="K33" s="77">
        <v>0</v>
      </c>
      <c r="L33" s="77">
        <v>3035.72</v>
      </c>
      <c r="M33" s="77">
        <v>1132</v>
      </c>
    </row>
    <row r="34" customHeight="1" spans="1:13">
      <c r="A34" s="28"/>
      <c r="B34" s="28"/>
      <c r="C34" s="241" t="s">
        <v>36</v>
      </c>
      <c r="D34" s="82"/>
      <c r="E34" s="242"/>
      <c r="F34" s="84">
        <v>129</v>
      </c>
      <c r="G34" s="85">
        <f t="shared" si="0"/>
        <v>14556.67</v>
      </c>
      <c r="H34" s="28"/>
      <c r="I34" s="28"/>
      <c r="J34" s="28"/>
      <c r="K34" s="28"/>
      <c r="L34" s="28"/>
      <c r="M34" s="28"/>
    </row>
    <row r="35" customHeight="1" spans="3:7">
      <c r="C35" s="238" t="s">
        <v>37</v>
      </c>
      <c r="D35" s="75"/>
      <c r="E35" s="239"/>
      <c r="F35" s="78">
        <v>40</v>
      </c>
      <c r="G35" s="79">
        <f t="shared" si="0"/>
        <v>14516.67</v>
      </c>
    </row>
    <row r="36" customHeight="1" spans="3:7">
      <c r="C36" s="238" t="s">
        <v>38</v>
      </c>
      <c r="D36" s="75"/>
      <c r="E36" s="239"/>
      <c r="F36" s="78">
        <v>200</v>
      </c>
      <c r="G36" s="79">
        <f t="shared" si="0"/>
        <v>14316.67</v>
      </c>
    </row>
    <row r="37" customHeight="1" spans="3:7">
      <c r="C37" s="238" t="s">
        <v>39</v>
      </c>
      <c r="D37" s="75"/>
      <c r="E37" s="239"/>
      <c r="F37" s="78">
        <v>44</v>
      </c>
      <c r="G37" s="79">
        <f t="shared" si="0"/>
        <v>14272.67</v>
      </c>
    </row>
    <row r="38" customHeight="1" spans="3:7">
      <c r="C38" s="238" t="s">
        <v>39</v>
      </c>
      <c r="D38" s="75"/>
      <c r="E38" s="239"/>
      <c r="F38" s="78">
        <v>125</v>
      </c>
      <c r="G38" s="79">
        <f t="shared" si="0"/>
        <v>14147.67</v>
      </c>
    </row>
    <row r="39" customHeight="1" spans="3:7">
      <c r="C39" s="238" t="s">
        <v>19</v>
      </c>
      <c r="D39" s="75"/>
      <c r="E39" s="239"/>
      <c r="F39" s="78">
        <v>25</v>
      </c>
      <c r="G39" s="79">
        <f t="shared" si="0"/>
        <v>14122.67</v>
      </c>
    </row>
    <row r="40" customHeight="1" spans="3:7">
      <c r="C40" s="238" t="s">
        <v>40</v>
      </c>
      <c r="D40" s="75"/>
      <c r="E40" s="239"/>
      <c r="F40" s="78">
        <v>1500</v>
      </c>
      <c r="G40" s="79">
        <f t="shared" si="0"/>
        <v>12622.67</v>
      </c>
    </row>
    <row r="41" customHeight="1" spans="1:13">
      <c r="A41" s="214">
        <v>45605</v>
      </c>
      <c r="B41" s="62" t="s">
        <v>41</v>
      </c>
      <c r="C41" s="216" t="s">
        <v>35</v>
      </c>
      <c r="D41" s="75"/>
      <c r="E41" s="239"/>
      <c r="F41" s="78">
        <v>106</v>
      </c>
      <c r="G41" s="79">
        <f t="shared" si="0"/>
        <v>12516.67</v>
      </c>
      <c r="H41" s="79">
        <f>I41+J41+K41+L41+M41</f>
        <v>12511.67</v>
      </c>
      <c r="I41" s="62">
        <v>0</v>
      </c>
      <c r="J41" s="62">
        <v>10517.95</v>
      </c>
      <c r="K41" s="62">
        <v>0</v>
      </c>
      <c r="L41" s="62">
        <v>1122.72</v>
      </c>
      <c r="M41" s="62">
        <f>850+21</f>
        <v>871</v>
      </c>
    </row>
    <row r="42" customHeight="1" spans="1:13">
      <c r="A42" s="28"/>
      <c r="B42" s="28"/>
      <c r="C42" s="241" t="s">
        <v>42</v>
      </c>
      <c r="D42" s="82"/>
      <c r="E42" s="242"/>
      <c r="F42" s="84">
        <v>279</v>
      </c>
      <c r="G42" s="85">
        <f t="shared" si="0"/>
        <v>12237.67</v>
      </c>
      <c r="H42" s="28"/>
      <c r="I42" s="28"/>
      <c r="J42" s="28"/>
      <c r="K42" s="28"/>
      <c r="L42" s="28"/>
      <c r="M42" s="28"/>
    </row>
    <row r="43" customHeight="1" spans="3:7">
      <c r="C43" s="238" t="s">
        <v>39</v>
      </c>
      <c r="D43" s="75"/>
      <c r="E43" s="239"/>
      <c r="F43" s="78">
        <v>49</v>
      </c>
      <c r="G43" s="79">
        <f t="shared" si="0"/>
        <v>12188.67</v>
      </c>
    </row>
    <row r="44" customHeight="1" spans="3:7">
      <c r="C44" s="238" t="s">
        <v>43</v>
      </c>
      <c r="D44" s="75"/>
      <c r="E44" s="239"/>
      <c r="F44" s="78">
        <v>1000</v>
      </c>
      <c r="G44" s="79">
        <f t="shared" si="0"/>
        <v>11188.67</v>
      </c>
    </row>
    <row r="45" customHeight="1" spans="3:7">
      <c r="C45" s="238" t="s">
        <v>39</v>
      </c>
      <c r="D45" s="75"/>
      <c r="E45" s="239"/>
      <c r="F45" s="78">
        <v>125</v>
      </c>
      <c r="G45" s="79">
        <f t="shared" si="0"/>
        <v>11063.67</v>
      </c>
    </row>
    <row r="46" customHeight="1" spans="3:7">
      <c r="C46" s="238" t="s">
        <v>44</v>
      </c>
      <c r="D46" s="75"/>
      <c r="E46" s="239"/>
      <c r="F46" s="78">
        <v>100</v>
      </c>
      <c r="G46" s="79">
        <f t="shared" si="0"/>
        <v>10963.67</v>
      </c>
    </row>
    <row r="47" customHeight="1" spans="3:7">
      <c r="C47" s="238" t="s">
        <v>45</v>
      </c>
      <c r="D47" s="75"/>
      <c r="E47" s="239"/>
      <c r="F47" s="78">
        <v>25</v>
      </c>
      <c r="G47" s="79">
        <f t="shared" si="0"/>
        <v>10938.67</v>
      </c>
    </row>
    <row r="48" customHeight="1" spans="3:7">
      <c r="C48" s="238" t="s">
        <v>17</v>
      </c>
      <c r="D48" s="75"/>
      <c r="E48" s="239"/>
      <c r="F48" s="78">
        <v>200</v>
      </c>
      <c r="G48" s="79">
        <f t="shared" si="0"/>
        <v>10738.67</v>
      </c>
    </row>
    <row r="49" customHeight="1" spans="3:7">
      <c r="C49" s="238" t="s">
        <v>39</v>
      </c>
      <c r="D49" s="75"/>
      <c r="E49" s="239"/>
      <c r="F49" s="78">
        <v>24</v>
      </c>
      <c r="G49" s="79">
        <f t="shared" si="0"/>
        <v>10714.67</v>
      </c>
    </row>
    <row r="50" customHeight="1" spans="1:13">
      <c r="A50" s="62" t="s">
        <v>46</v>
      </c>
      <c r="C50" s="238"/>
      <c r="D50" s="75"/>
      <c r="E50" s="239"/>
      <c r="F50" s="78"/>
      <c r="G50" s="79">
        <f t="shared" si="0"/>
        <v>10714.67</v>
      </c>
      <c r="H50" s="79">
        <f>I50+J50+K50+L50+M50</f>
        <v>10704.67</v>
      </c>
      <c r="I50" s="77">
        <v>0</v>
      </c>
      <c r="J50" s="77">
        <v>9238.95</v>
      </c>
      <c r="K50" s="77">
        <v>0</v>
      </c>
      <c r="L50" s="77">
        <v>623.72</v>
      </c>
      <c r="M50" s="77">
        <f>830+12</f>
        <v>842</v>
      </c>
    </row>
    <row r="51" customHeight="1" spans="1:13">
      <c r="A51" s="28"/>
      <c r="B51" s="28"/>
      <c r="C51" s="241" t="s">
        <v>47</v>
      </c>
      <c r="D51" s="82"/>
      <c r="E51" s="242"/>
      <c r="F51" s="84">
        <v>579.05</v>
      </c>
      <c r="G51" s="85">
        <f t="shared" si="0"/>
        <v>10135.62</v>
      </c>
      <c r="H51" s="28"/>
      <c r="I51" s="28"/>
      <c r="J51" s="28"/>
      <c r="K51" s="28"/>
      <c r="L51" s="28"/>
      <c r="M51" s="28"/>
    </row>
    <row r="52" customHeight="1" spans="3:7">
      <c r="C52" s="238" t="s">
        <v>16</v>
      </c>
      <c r="D52" s="75"/>
      <c r="E52" s="239"/>
      <c r="F52" s="78">
        <v>100</v>
      </c>
      <c r="G52" s="79">
        <f t="shared" si="0"/>
        <v>10035.62</v>
      </c>
    </row>
    <row r="53" customHeight="1" spans="3:7">
      <c r="C53" s="238" t="s">
        <v>38</v>
      </c>
      <c r="D53" s="75"/>
      <c r="E53" s="239"/>
      <c r="F53" s="78">
        <v>200</v>
      </c>
      <c r="G53" s="79">
        <f t="shared" si="0"/>
        <v>9835.62</v>
      </c>
    </row>
    <row r="54" customHeight="1" spans="3:7">
      <c r="C54" s="238" t="s">
        <v>48</v>
      </c>
      <c r="D54" s="75"/>
      <c r="E54" s="239"/>
      <c r="F54" s="78">
        <v>30</v>
      </c>
      <c r="G54" s="79">
        <f t="shared" si="0"/>
        <v>9805.62</v>
      </c>
    </row>
    <row r="55" customHeight="1" spans="1:7">
      <c r="A55" s="62" t="s">
        <v>49</v>
      </c>
      <c r="C55" s="238" t="s">
        <v>50</v>
      </c>
      <c r="D55" s="75"/>
      <c r="E55" s="239"/>
      <c r="F55" s="78">
        <v>278</v>
      </c>
      <c r="G55" s="79">
        <f t="shared" si="0"/>
        <v>9527.62</v>
      </c>
    </row>
    <row r="56" customHeight="1" spans="3:7">
      <c r="C56" s="238" t="s">
        <v>51</v>
      </c>
      <c r="D56" s="75"/>
      <c r="E56" s="239"/>
      <c r="F56" s="78">
        <v>145</v>
      </c>
      <c r="G56" s="79">
        <f t="shared" si="0"/>
        <v>9382.62</v>
      </c>
    </row>
    <row r="57" customHeight="1" spans="3:7">
      <c r="C57" s="238" t="s">
        <v>30</v>
      </c>
      <c r="D57" s="75"/>
      <c r="E57" s="239"/>
      <c r="F57" s="78">
        <v>45</v>
      </c>
      <c r="G57" s="79">
        <f t="shared" si="0"/>
        <v>9337.62</v>
      </c>
    </row>
    <row r="58" customHeight="1" spans="3:7">
      <c r="C58" s="238" t="s">
        <v>27</v>
      </c>
      <c r="D58" s="75"/>
      <c r="E58" s="239"/>
      <c r="F58" s="78">
        <v>79</v>
      </c>
      <c r="G58" s="79">
        <f t="shared" si="0"/>
        <v>9258.62</v>
      </c>
    </row>
    <row r="59" customHeight="1" spans="3:13">
      <c r="C59" s="238" t="s">
        <v>27</v>
      </c>
      <c r="D59" s="75"/>
      <c r="E59" s="239"/>
      <c r="F59" s="78">
        <v>24</v>
      </c>
      <c r="G59" s="79">
        <f t="shared" si="0"/>
        <v>9234.62</v>
      </c>
      <c r="H59" s="79"/>
      <c r="I59" s="77"/>
      <c r="J59" s="77"/>
      <c r="K59" s="77"/>
      <c r="L59" s="77"/>
      <c r="M59" s="77"/>
    </row>
    <row r="60" customHeight="1" spans="3:7">
      <c r="C60" s="238" t="s">
        <v>27</v>
      </c>
      <c r="D60" s="75"/>
      <c r="E60" s="239"/>
      <c r="F60" s="78">
        <v>30</v>
      </c>
      <c r="G60" s="79">
        <f t="shared" si="0"/>
        <v>9204.62</v>
      </c>
    </row>
    <row r="61" customHeight="1" spans="1:13">
      <c r="A61" s="62" t="s">
        <v>52</v>
      </c>
      <c r="C61" s="238" t="s">
        <v>53</v>
      </c>
      <c r="D61" s="75"/>
      <c r="E61" s="239"/>
      <c r="F61" s="78">
        <v>5.9</v>
      </c>
      <c r="G61" s="79">
        <f t="shared" si="0"/>
        <v>9198.72</v>
      </c>
      <c r="H61" s="79">
        <f>I61+J61+K61+L61+M61</f>
        <v>9198.72</v>
      </c>
      <c r="I61" s="77">
        <v>0</v>
      </c>
      <c r="J61" s="77">
        <v>3612.95</v>
      </c>
      <c r="K61" s="77">
        <v>0</v>
      </c>
      <c r="L61" s="77">
        <v>4893.77</v>
      </c>
      <c r="M61" s="77">
        <v>692</v>
      </c>
    </row>
    <row r="62" customHeight="1" spans="1:13">
      <c r="A62" s="28"/>
      <c r="B62" s="28"/>
      <c r="C62" s="241" t="s">
        <v>54</v>
      </c>
      <c r="D62" s="82"/>
      <c r="E62" s="242"/>
      <c r="F62" s="84">
        <v>649</v>
      </c>
      <c r="G62" s="85">
        <f t="shared" si="0"/>
        <v>8549.72</v>
      </c>
      <c r="H62" s="28"/>
      <c r="I62" s="28"/>
      <c r="J62" s="28"/>
      <c r="K62" s="28"/>
      <c r="L62" s="28"/>
      <c r="M62" s="28"/>
    </row>
    <row r="63" customHeight="1" spans="3:7">
      <c r="C63" s="238" t="s">
        <v>55</v>
      </c>
      <c r="D63" s="75"/>
      <c r="E63" s="239"/>
      <c r="F63" s="78">
        <v>40</v>
      </c>
      <c r="G63" s="79">
        <f t="shared" si="0"/>
        <v>8509.72</v>
      </c>
    </row>
    <row r="64" customHeight="1" spans="3:7">
      <c r="C64" s="238" t="s">
        <v>56</v>
      </c>
      <c r="D64" s="75"/>
      <c r="E64" s="239"/>
      <c r="F64" s="78">
        <v>119</v>
      </c>
      <c r="G64" s="79">
        <f t="shared" si="0"/>
        <v>8390.72</v>
      </c>
    </row>
    <row r="65" customHeight="1" spans="3:7">
      <c r="C65" s="238" t="s">
        <v>57</v>
      </c>
      <c r="D65" s="75"/>
      <c r="E65" s="239"/>
      <c r="F65" s="78">
        <v>402</v>
      </c>
      <c r="G65" s="79">
        <f t="shared" si="0"/>
        <v>7988.72</v>
      </c>
    </row>
    <row r="66" customHeight="1" spans="3:7">
      <c r="C66" s="238" t="s">
        <v>37</v>
      </c>
      <c r="D66" s="75"/>
      <c r="E66" s="239"/>
      <c r="F66" s="78">
        <v>180</v>
      </c>
      <c r="G66" s="79">
        <f t="shared" si="0"/>
        <v>7808.72</v>
      </c>
    </row>
    <row r="67" customHeight="1" spans="3:7">
      <c r="C67" s="238" t="s">
        <v>58</v>
      </c>
      <c r="D67" s="75"/>
      <c r="E67" s="239"/>
      <c r="F67" s="78">
        <v>20</v>
      </c>
      <c r="G67" s="79">
        <f t="shared" si="0"/>
        <v>7788.72</v>
      </c>
    </row>
    <row r="68" customHeight="1" spans="3:7">
      <c r="C68" s="238" t="s">
        <v>39</v>
      </c>
      <c r="D68" s="75"/>
      <c r="E68" s="239"/>
      <c r="F68" s="78">
        <v>100</v>
      </c>
      <c r="G68" s="79">
        <f t="shared" si="0"/>
        <v>7688.72</v>
      </c>
    </row>
    <row r="69" customHeight="1" spans="3:7">
      <c r="C69" s="238" t="s">
        <v>45</v>
      </c>
      <c r="D69" s="75"/>
      <c r="E69" s="239"/>
      <c r="F69" s="78">
        <v>25</v>
      </c>
      <c r="G69" s="79">
        <f t="shared" si="0"/>
        <v>7663.72</v>
      </c>
    </row>
    <row r="70" customHeight="1" spans="3:7">
      <c r="C70" s="238" t="s">
        <v>39</v>
      </c>
      <c r="D70" s="75"/>
      <c r="E70" s="239"/>
      <c r="F70" s="78">
        <v>44</v>
      </c>
      <c r="G70" s="79">
        <f t="shared" si="0"/>
        <v>7619.72</v>
      </c>
    </row>
    <row r="71" customHeight="1" spans="3:7">
      <c r="C71" s="238" t="s">
        <v>59</v>
      </c>
      <c r="D71" s="75"/>
      <c r="E71" s="239"/>
      <c r="F71" s="78">
        <v>220</v>
      </c>
      <c r="G71" s="79">
        <f t="shared" si="0"/>
        <v>7399.72</v>
      </c>
    </row>
    <row r="72" customHeight="1" spans="3:7">
      <c r="C72" s="238" t="s">
        <v>60</v>
      </c>
      <c r="D72" s="75"/>
      <c r="E72" s="239"/>
      <c r="F72" s="78">
        <v>219.9</v>
      </c>
      <c r="G72" s="79">
        <f t="shared" si="0"/>
        <v>7179.82</v>
      </c>
    </row>
    <row r="73" customHeight="1" spans="3:7">
      <c r="C73" s="238" t="s">
        <v>16</v>
      </c>
      <c r="D73" s="75"/>
      <c r="E73" s="239"/>
      <c r="F73" s="78">
        <v>100</v>
      </c>
      <c r="G73" s="79">
        <f t="shared" si="0"/>
        <v>7079.82</v>
      </c>
    </row>
    <row r="74" customHeight="1" spans="1:13">
      <c r="A74" s="62" t="s">
        <v>61</v>
      </c>
      <c r="C74" s="238" t="s">
        <v>39</v>
      </c>
      <c r="D74" s="75"/>
      <c r="E74" s="239"/>
      <c r="F74" s="78">
        <v>70</v>
      </c>
      <c r="G74" s="79">
        <f t="shared" si="0"/>
        <v>7009.82</v>
      </c>
      <c r="H74" s="79">
        <f>I74+J74+K74+L74+M74</f>
        <v>7009.82</v>
      </c>
      <c r="I74" s="77">
        <v>0</v>
      </c>
      <c r="J74" s="77">
        <v>3612.95</v>
      </c>
      <c r="K74" s="77">
        <v>0</v>
      </c>
      <c r="L74" s="77">
        <v>2894.87</v>
      </c>
      <c r="M74" s="77">
        <v>502</v>
      </c>
    </row>
    <row r="75" customHeight="1" spans="1:13">
      <c r="A75" s="28"/>
      <c r="B75" s="28"/>
      <c r="C75" s="241" t="s">
        <v>39</v>
      </c>
      <c r="D75" s="82"/>
      <c r="E75" s="242"/>
      <c r="F75" s="84">
        <v>20</v>
      </c>
      <c r="G75" s="85">
        <f t="shared" si="0"/>
        <v>6989.82</v>
      </c>
      <c r="H75" s="28"/>
      <c r="I75" s="28"/>
      <c r="J75" s="28"/>
      <c r="K75" s="28"/>
      <c r="L75" s="28"/>
      <c r="M75" s="28"/>
    </row>
    <row r="76" customHeight="1" spans="3:7">
      <c r="C76" s="238" t="s">
        <v>39</v>
      </c>
      <c r="D76" s="75"/>
      <c r="E76" s="239"/>
      <c r="F76" s="78">
        <v>20</v>
      </c>
      <c r="G76" s="79">
        <f t="shared" si="0"/>
        <v>6969.82</v>
      </c>
    </row>
    <row r="77" customHeight="1" spans="3:7">
      <c r="C77" s="238" t="s">
        <v>19</v>
      </c>
      <c r="D77" s="75"/>
      <c r="E77" s="239"/>
      <c r="F77" s="78">
        <v>25</v>
      </c>
      <c r="G77" s="79">
        <f t="shared" si="0"/>
        <v>6944.82</v>
      </c>
    </row>
    <row r="78" customHeight="1" spans="3:7">
      <c r="C78" s="238" t="s">
        <v>20</v>
      </c>
      <c r="D78" s="75"/>
      <c r="E78" s="239"/>
      <c r="F78" s="78">
        <v>85</v>
      </c>
      <c r="G78" s="79">
        <f t="shared" si="0"/>
        <v>6859.82</v>
      </c>
    </row>
    <row r="79" customHeight="1" spans="3:7">
      <c r="C79" s="238" t="s">
        <v>39</v>
      </c>
      <c r="D79" s="75"/>
      <c r="E79" s="239"/>
      <c r="F79" s="78">
        <v>38</v>
      </c>
      <c r="G79" s="79">
        <f t="shared" si="0"/>
        <v>6821.82</v>
      </c>
    </row>
    <row r="80" customHeight="1" spans="3:7">
      <c r="C80" s="238" t="s">
        <v>39</v>
      </c>
      <c r="D80" s="75"/>
      <c r="E80" s="239"/>
      <c r="F80" s="78">
        <v>34</v>
      </c>
      <c r="G80" s="79">
        <f t="shared" si="0"/>
        <v>6787.82</v>
      </c>
    </row>
    <row r="81" customHeight="1" spans="3:7">
      <c r="C81" s="238" t="s">
        <v>58</v>
      </c>
      <c r="D81" s="75"/>
      <c r="E81" s="239"/>
      <c r="F81" s="78">
        <v>40</v>
      </c>
      <c r="G81" s="79">
        <f t="shared" si="0"/>
        <v>6747.82</v>
      </c>
    </row>
    <row r="82" customHeight="1" spans="3:7">
      <c r="C82" s="238" t="s">
        <v>39</v>
      </c>
      <c r="D82" s="75"/>
      <c r="E82" s="239"/>
      <c r="F82" s="78">
        <v>30</v>
      </c>
      <c r="G82" s="79">
        <f t="shared" si="0"/>
        <v>6717.82</v>
      </c>
    </row>
    <row r="83" customHeight="1" spans="3:7">
      <c r="C83" s="238" t="s">
        <v>62</v>
      </c>
      <c r="D83" s="75"/>
      <c r="E83" s="239"/>
      <c r="F83" s="78">
        <v>105</v>
      </c>
      <c r="G83" s="79">
        <f t="shared" si="0"/>
        <v>6612.82</v>
      </c>
    </row>
    <row r="84" customHeight="1" spans="3:7">
      <c r="C84" s="238" t="s">
        <v>63</v>
      </c>
      <c r="D84" s="75"/>
      <c r="E84" s="239"/>
      <c r="F84" s="78">
        <v>813</v>
      </c>
      <c r="G84" s="79">
        <f t="shared" si="0"/>
        <v>5799.82</v>
      </c>
    </row>
    <row r="85" customHeight="1" spans="3:7">
      <c r="C85" s="238" t="s">
        <v>64</v>
      </c>
      <c r="D85" s="75"/>
      <c r="E85" s="239">
        <v>402</v>
      </c>
      <c r="F85" s="78"/>
      <c r="G85" s="79">
        <f t="shared" si="0"/>
        <v>6201.82</v>
      </c>
    </row>
    <row r="86" customHeight="1" spans="3:13">
      <c r="C86" s="238" t="s">
        <v>65</v>
      </c>
      <c r="D86" s="75"/>
      <c r="E86" s="239"/>
      <c r="F86" s="78">
        <v>7.5</v>
      </c>
      <c r="G86" s="79">
        <f t="shared" si="0"/>
        <v>6194.32</v>
      </c>
      <c r="H86" s="79">
        <f>I86+J86+K86+L86+M86</f>
        <v>6194.32</v>
      </c>
      <c r="I86" s="77">
        <v>0</v>
      </c>
      <c r="J86" s="77">
        <v>1905.45</v>
      </c>
      <c r="K86" s="77">
        <v>0</v>
      </c>
      <c r="L86" s="77">
        <v>3786.87</v>
      </c>
      <c r="M86" s="77">
        <v>502</v>
      </c>
    </row>
    <row r="87" customHeight="1" spans="1:13">
      <c r="A87" s="120" t="s">
        <v>66</v>
      </c>
      <c r="B87" s="120" t="s">
        <v>67</v>
      </c>
      <c r="C87" s="241" t="s">
        <v>37</v>
      </c>
      <c r="D87" s="82"/>
      <c r="E87" s="242"/>
      <c r="F87" s="84">
        <v>100</v>
      </c>
      <c r="G87" s="85">
        <f t="shared" si="0"/>
        <v>6094.32</v>
      </c>
      <c r="H87" s="28"/>
      <c r="I87" s="28"/>
      <c r="J87" s="28"/>
      <c r="K87" s="28"/>
      <c r="L87" s="28"/>
      <c r="M87" s="28"/>
    </row>
    <row r="88" customHeight="1" spans="3:7">
      <c r="C88" s="238" t="s">
        <v>19</v>
      </c>
      <c r="D88" s="75"/>
      <c r="E88" s="239"/>
      <c r="F88" s="78">
        <v>25</v>
      </c>
      <c r="G88" s="79">
        <f t="shared" si="0"/>
        <v>6069.32</v>
      </c>
    </row>
    <row r="89" customHeight="1" spans="3:7">
      <c r="C89" s="238" t="s">
        <v>38</v>
      </c>
      <c r="D89" s="75"/>
      <c r="E89" s="239"/>
      <c r="F89" s="78">
        <v>100</v>
      </c>
      <c r="G89" s="79">
        <f t="shared" si="0"/>
        <v>5969.32</v>
      </c>
    </row>
    <row r="90" customHeight="1" spans="3:7">
      <c r="C90" s="238" t="s">
        <v>39</v>
      </c>
      <c r="D90" s="75"/>
      <c r="E90" s="239"/>
      <c r="F90" s="78">
        <v>20</v>
      </c>
      <c r="G90" s="79">
        <f t="shared" si="0"/>
        <v>5949.32</v>
      </c>
    </row>
    <row r="91" customHeight="1" spans="3:7">
      <c r="C91" s="238" t="s">
        <v>47</v>
      </c>
      <c r="D91" s="75"/>
      <c r="E91" s="239"/>
      <c r="F91" s="78">
        <v>5</v>
      </c>
      <c r="G91" s="79">
        <f t="shared" si="0"/>
        <v>5944.32</v>
      </c>
    </row>
    <row r="92" customHeight="1" spans="3:7">
      <c r="C92" s="238" t="s">
        <v>68</v>
      </c>
      <c r="D92" s="75"/>
      <c r="E92" s="239"/>
      <c r="F92" s="78">
        <v>150</v>
      </c>
      <c r="G92" s="79">
        <f t="shared" si="0"/>
        <v>5794.32</v>
      </c>
    </row>
    <row r="93" customHeight="1" spans="3:7">
      <c r="C93" s="238" t="s">
        <v>69</v>
      </c>
      <c r="D93" s="75"/>
      <c r="E93" s="239"/>
      <c r="F93" s="78">
        <v>2000</v>
      </c>
      <c r="G93" s="79">
        <f t="shared" si="0"/>
        <v>3794.32</v>
      </c>
    </row>
    <row r="94" customHeight="1" spans="3:7">
      <c r="C94" s="238" t="s">
        <v>16</v>
      </c>
      <c r="D94" s="75"/>
      <c r="E94" s="239"/>
      <c r="F94" s="78">
        <v>300</v>
      </c>
      <c r="G94" s="79">
        <f t="shared" si="0"/>
        <v>3494.32</v>
      </c>
    </row>
    <row r="95" customHeight="1" spans="3:7">
      <c r="C95" s="238" t="s">
        <v>47</v>
      </c>
      <c r="D95" s="75"/>
      <c r="E95" s="239"/>
      <c r="F95" s="78">
        <v>718.3</v>
      </c>
      <c r="G95" s="79">
        <f t="shared" si="0"/>
        <v>2776.02</v>
      </c>
    </row>
    <row r="96" customHeight="1" spans="3:7">
      <c r="C96" s="238" t="s">
        <v>55</v>
      </c>
      <c r="D96" s="75"/>
      <c r="E96" s="239"/>
      <c r="F96" s="78">
        <v>160</v>
      </c>
      <c r="G96" s="79">
        <f t="shared" si="0"/>
        <v>2616.02</v>
      </c>
    </row>
    <row r="97" customHeight="1" spans="3:7">
      <c r="C97" s="238" t="s">
        <v>47</v>
      </c>
      <c r="D97" s="75"/>
      <c r="E97" s="239"/>
      <c r="F97" s="78">
        <v>5</v>
      </c>
      <c r="G97" s="79">
        <f t="shared" si="0"/>
        <v>2611.02</v>
      </c>
    </row>
    <row r="98" customHeight="1" spans="3:7">
      <c r="C98" s="238" t="s">
        <v>58</v>
      </c>
      <c r="D98" s="75"/>
      <c r="E98" s="239"/>
      <c r="F98" s="78">
        <v>30</v>
      </c>
      <c r="G98" s="79">
        <f t="shared" si="0"/>
        <v>2581.02</v>
      </c>
    </row>
    <row r="99" customHeight="1" spans="1:7">
      <c r="A99" s="62" t="s">
        <v>70</v>
      </c>
      <c r="C99" s="238" t="s">
        <v>37</v>
      </c>
      <c r="D99" s="75"/>
      <c r="E99" s="239"/>
      <c r="F99" s="78">
        <v>30</v>
      </c>
      <c r="G99" s="79">
        <f t="shared" si="0"/>
        <v>2551.02</v>
      </c>
    </row>
    <row r="100" customHeight="1" spans="3:7">
      <c r="C100" s="238" t="s">
        <v>71</v>
      </c>
      <c r="D100" s="75"/>
      <c r="E100" s="239"/>
      <c r="F100" s="78">
        <v>200</v>
      </c>
      <c r="G100" s="79">
        <f t="shared" si="0"/>
        <v>2351.02</v>
      </c>
    </row>
    <row r="101" customHeight="1" spans="3:13">
      <c r="C101" s="238"/>
      <c r="D101" s="75"/>
      <c r="E101" s="239"/>
      <c r="F101" s="78"/>
      <c r="G101" s="79">
        <f t="shared" si="0"/>
        <v>2351.02</v>
      </c>
      <c r="H101" s="79">
        <f>I101+J101+K101+L101+M101</f>
        <v>2389.02</v>
      </c>
      <c r="I101" s="77">
        <v>0</v>
      </c>
      <c r="J101" s="77">
        <v>985.45</v>
      </c>
      <c r="K101" s="77">
        <v>0</v>
      </c>
      <c r="L101" s="77">
        <v>1259.57</v>
      </c>
      <c r="M101" s="77">
        <v>144</v>
      </c>
    </row>
    <row r="102" customHeight="1" spans="3:7">
      <c r="C102" s="238"/>
      <c r="D102" s="75"/>
      <c r="E102" s="239"/>
      <c r="F102" s="78"/>
      <c r="G102" s="79">
        <f t="shared" si="0"/>
        <v>2351.02</v>
      </c>
    </row>
    <row r="103" customHeight="1" spans="3:7">
      <c r="C103" s="238"/>
      <c r="D103" s="75"/>
      <c r="E103" s="239"/>
      <c r="F103" s="78"/>
      <c r="G103" s="79">
        <f t="shared" si="0"/>
        <v>2351.02</v>
      </c>
    </row>
    <row r="104" customHeight="1" spans="3:8">
      <c r="C104" s="238"/>
      <c r="D104" s="75"/>
      <c r="E104" s="239"/>
      <c r="F104" s="78"/>
      <c r="G104" s="79">
        <f t="shared" si="0"/>
        <v>2351.02</v>
      </c>
      <c r="H104" s="172">
        <f>H101-G104</f>
        <v>38.0000000000005</v>
      </c>
    </row>
    <row r="105" customHeight="1" spans="3:7">
      <c r="C105" s="238"/>
      <c r="D105" s="75"/>
      <c r="E105" s="239"/>
      <c r="F105" s="78"/>
      <c r="G105" s="79">
        <f t="shared" si="0"/>
        <v>2351.02</v>
      </c>
    </row>
    <row r="106" customHeight="1" spans="3:7">
      <c r="C106" s="238"/>
      <c r="D106" s="75"/>
      <c r="E106" s="239"/>
      <c r="F106" s="78"/>
      <c r="G106" s="79">
        <f t="shared" si="0"/>
        <v>2351.02</v>
      </c>
    </row>
    <row r="107" customHeight="1" spans="3:7">
      <c r="C107" s="238"/>
      <c r="D107" s="75"/>
      <c r="E107" s="239"/>
      <c r="F107" s="78"/>
      <c r="G107" s="79">
        <f t="shared" si="0"/>
        <v>2351.02</v>
      </c>
    </row>
    <row r="108" customHeight="1" spans="3:7">
      <c r="C108" s="238"/>
      <c r="D108" s="75"/>
      <c r="E108" s="239"/>
      <c r="F108" s="78"/>
      <c r="G108" s="79">
        <f t="shared" si="0"/>
        <v>2351.02</v>
      </c>
    </row>
    <row r="109" customHeight="1" spans="3:7">
      <c r="C109" s="238"/>
      <c r="D109" s="75"/>
      <c r="E109" s="239"/>
      <c r="F109" s="78"/>
      <c r="G109" s="79">
        <f t="shared" si="0"/>
        <v>2351.02</v>
      </c>
    </row>
    <row r="110" customHeight="1" spans="3:7">
      <c r="C110" s="238"/>
      <c r="D110" s="75"/>
      <c r="E110" s="239"/>
      <c r="F110" s="78"/>
      <c r="G110" s="79">
        <f t="shared" si="0"/>
        <v>2351.02</v>
      </c>
    </row>
    <row r="111" customHeight="1" spans="3:7">
      <c r="C111" s="238"/>
      <c r="D111" s="75"/>
      <c r="E111" s="239"/>
      <c r="F111" s="78"/>
      <c r="G111" s="79">
        <f t="shared" si="0"/>
        <v>2351.02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0"/>
  <sheetViews>
    <sheetView workbookViewId="0">
      <selection activeCell="A1" sqref="A1:A2"/>
    </sheetView>
  </sheetViews>
  <sheetFormatPr defaultColWidth="12.6296296296296" defaultRowHeight="15.75" customHeight="1"/>
  <sheetData>
    <row r="1" customHeight="1" spans="1:13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164" t="s">
        <v>73</v>
      </c>
      <c r="B3" s="164"/>
      <c r="C3" s="238" t="s">
        <v>74</v>
      </c>
      <c r="D3" s="75"/>
      <c r="E3" s="239">
        <v>33209</v>
      </c>
      <c r="F3" s="78"/>
      <c r="G3" s="79">
        <f>E3-F3</f>
        <v>33209</v>
      </c>
      <c r="H3" s="79"/>
      <c r="I3" s="77"/>
      <c r="J3" s="77"/>
      <c r="K3" s="77"/>
      <c r="L3" s="77"/>
      <c r="M3" s="77"/>
    </row>
    <row r="4" customHeight="1" spans="1:13">
      <c r="A4" s="164"/>
      <c r="B4" s="164"/>
      <c r="C4" s="238" t="s">
        <v>6</v>
      </c>
      <c r="D4" s="75"/>
      <c r="E4" s="239">
        <v>2351.02</v>
      </c>
      <c r="F4" s="78"/>
      <c r="G4" s="79">
        <f t="shared" ref="G4:G110" si="0">(E4-F4)+G3</f>
        <v>35560.02</v>
      </c>
      <c r="H4" s="79"/>
      <c r="I4" s="77"/>
      <c r="J4" s="77"/>
      <c r="K4" s="77"/>
      <c r="L4" s="77"/>
      <c r="M4" s="77"/>
    </row>
    <row r="5" customHeight="1" spans="1:13">
      <c r="A5" s="164"/>
      <c r="B5" s="164"/>
      <c r="C5" s="238" t="s">
        <v>27</v>
      </c>
      <c r="D5" s="75"/>
      <c r="E5" s="239"/>
      <c r="F5" s="78">
        <v>73</v>
      </c>
      <c r="G5" s="79">
        <f t="shared" si="0"/>
        <v>35487.02</v>
      </c>
      <c r="H5" s="79"/>
      <c r="I5" s="77"/>
      <c r="J5" s="77"/>
      <c r="K5" s="77"/>
      <c r="L5" s="77"/>
      <c r="M5" s="77"/>
    </row>
    <row r="6" customHeight="1" spans="1:13">
      <c r="A6" s="164"/>
      <c r="B6" s="164"/>
      <c r="C6" s="238" t="s">
        <v>75</v>
      </c>
      <c r="D6" s="75"/>
      <c r="E6" s="239">
        <v>13600</v>
      </c>
      <c r="F6" s="78"/>
      <c r="G6" s="79">
        <f t="shared" si="0"/>
        <v>49087.02</v>
      </c>
      <c r="H6" s="79"/>
      <c r="I6" s="77"/>
      <c r="J6" s="77"/>
      <c r="K6" s="77"/>
      <c r="L6" s="77"/>
      <c r="M6" s="77"/>
    </row>
    <row r="7" customHeight="1" spans="1:13">
      <c r="A7" s="164"/>
      <c r="B7" s="164"/>
      <c r="C7" s="238" t="s">
        <v>76</v>
      </c>
      <c r="D7" s="75"/>
      <c r="E7" s="239"/>
      <c r="F7" s="78">
        <v>30</v>
      </c>
      <c r="G7" s="79">
        <f t="shared" si="0"/>
        <v>49057.02</v>
      </c>
      <c r="H7" s="79"/>
      <c r="I7" s="77"/>
      <c r="J7" s="77"/>
      <c r="K7" s="77"/>
      <c r="L7" s="77"/>
      <c r="M7" s="77"/>
    </row>
    <row r="8" customHeight="1" spans="1:13">
      <c r="A8" s="164"/>
      <c r="B8" s="164"/>
      <c r="C8" s="238" t="s">
        <v>27</v>
      </c>
      <c r="D8" s="75"/>
      <c r="E8" s="239"/>
      <c r="F8" s="78">
        <v>40</v>
      </c>
      <c r="G8" s="79">
        <f t="shared" si="0"/>
        <v>49017.02</v>
      </c>
      <c r="H8" s="79"/>
      <c r="I8" s="77"/>
      <c r="J8" s="77"/>
      <c r="K8" s="77"/>
      <c r="L8" s="77"/>
      <c r="M8" s="77"/>
    </row>
    <row r="9" customHeight="1" spans="1:13">
      <c r="A9" s="164"/>
      <c r="B9" s="164"/>
      <c r="C9" s="238" t="s">
        <v>17</v>
      </c>
      <c r="D9" s="75"/>
      <c r="E9" s="239"/>
      <c r="F9" s="78">
        <v>130</v>
      </c>
      <c r="G9" s="79">
        <f t="shared" si="0"/>
        <v>48887.02</v>
      </c>
      <c r="H9" s="79"/>
      <c r="I9" s="77"/>
      <c r="J9" s="77"/>
      <c r="K9" s="77"/>
      <c r="L9" s="77"/>
      <c r="M9" s="77"/>
    </row>
    <row r="10" customHeight="1" spans="1:13">
      <c r="A10" s="164"/>
      <c r="B10" s="164"/>
      <c r="C10" s="238" t="s">
        <v>24</v>
      </c>
      <c r="D10" s="75"/>
      <c r="E10" s="239"/>
      <c r="F10" s="78">
        <v>9000</v>
      </c>
      <c r="G10" s="79">
        <f t="shared" si="0"/>
        <v>39887.02</v>
      </c>
      <c r="H10" s="79"/>
      <c r="I10" s="77"/>
      <c r="J10" s="77"/>
      <c r="K10" s="77"/>
      <c r="L10" s="77"/>
      <c r="M10" s="77"/>
    </row>
    <row r="11" customHeight="1" spans="1:13">
      <c r="A11" s="164"/>
      <c r="B11" s="164"/>
      <c r="C11" s="238" t="s">
        <v>27</v>
      </c>
      <c r="D11" s="75"/>
      <c r="E11" s="239"/>
      <c r="F11" s="78">
        <v>20</v>
      </c>
      <c r="G11" s="79">
        <f t="shared" si="0"/>
        <v>39867.02</v>
      </c>
      <c r="H11" s="79"/>
      <c r="I11" s="77"/>
      <c r="J11" s="77"/>
      <c r="K11" s="77"/>
      <c r="L11" s="77"/>
      <c r="M11" s="77"/>
    </row>
    <row r="12" customHeight="1" spans="1:13">
      <c r="A12" s="164"/>
      <c r="B12" s="164"/>
      <c r="C12" s="238" t="s">
        <v>37</v>
      </c>
      <c r="D12" s="75"/>
      <c r="E12" s="239"/>
      <c r="F12" s="78">
        <v>100</v>
      </c>
      <c r="G12" s="79">
        <f t="shared" si="0"/>
        <v>39767.02</v>
      </c>
      <c r="H12" s="79"/>
      <c r="I12" s="77"/>
      <c r="J12" s="77"/>
      <c r="K12" s="77"/>
      <c r="L12" s="77"/>
      <c r="M12" s="77"/>
    </row>
    <row r="13" customHeight="1" spans="1:13">
      <c r="A13" s="214"/>
      <c r="C13" s="238" t="s">
        <v>21</v>
      </c>
      <c r="D13" s="75"/>
      <c r="E13" s="239"/>
      <c r="F13" s="78">
        <v>1265</v>
      </c>
      <c r="G13" s="79">
        <f t="shared" si="0"/>
        <v>38502.02</v>
      </c>
      <c r="H13" s="79"/>
      <c r="I13" s="77"/>
      <c r="J13" s="77"/>
      <c r="K13" s="77"/>
      <c r="L13" s="77"/>
      <c r="M13" s="77"/>
    </row>
    <row r="14" customHeight="1" spans="1:13">
      <c r="A14" s="164"/>
      <c r="B14" s="164"/>
      <c r="C14" s="238" t="s">
        <v>76</v>
      </c>
      <c r="D14" s="75"/>
      <c r="E14" s="239"/>
      <c r="F14" s="78">
        <v>20</v>
      </c>
      <c r="G14" s="79">
        <f t="shared" si="0"/>
        <v>38482.02</v>
      </c>
      <c r="H14" s="79"/>
      <c r="I14" s="77"/>
      <c r="J14" s="77"/>
      <c r="K14" s="77"/>
      <c r="L14" s="77"/>
      <c r="M14" s="77"/>
    </row>
    <row r="15" customHeight="1" spans="1:7">
      <c r="A15" s="164"/>
      <c r="B15" s="164"/>
      <c r="C15" s="238" t="s">
        <v>33</v>
      </c>
      <c r="D15" s="75"/>
      <c r="E15" s="239"/>
      <c r="F15" s="78">
        <v>100</v>
      </c>
      <c r="G15" s="79">
        <f t="shared" si="0"/>
        <v>38382.02</v>
      </c>
    </row>
    <row r="16" customHeight="1" spans="1:13">
      <c r="A16" s="164"/>
      <c r="B16" s="164"/>
      <c r="C16" s="238" t="s">
        <v>37</v>
      </c>
      <c r="D16" s="75"/>
      <c r="E16" s="239"/>
      <c r="F16" s="78">
        <v>120</v>
      </c>
      <c r="G16" s="79">
        <f t="shared" si="0"/>
        <v>38262.02</v>
      </c>
      <c r="H16" s="79"/>
      <c r="I16" s="77"/>
      <c r="J16" s="77"/>
      <c r="K16" s="77"/>
      <c r="L16" s="77"/>
      <c r="M16" s="77"/>
    </row>
    <row r="17" customHeight="1" spans="1:13">
      <c r="A17" s="164"/>
      <c r="B17" s="164"/>
      <c r="C17" s="238" t="s">
        <v>27</v>
      </c>
      <c r="D17" s="75"/>
      <c r="E17" s="239"/>
      <c r="F17" s="78">
        <v>20</v>
      </c>
      <c r="G17" s="79">
        <f t="shared" si="0"/>
        <v>38242.02</v>
      </c>
      <c r="H17" s="79"/>
      <c r="I17" s="77"/>
      <c r="J17" s="77"/>
      <c r="K17" s="77"/>
      <c r="M17" s="77"/>
    </row>
    <row r="18" customHeight="1" spans="1:7">
      <c r="A18" s="164"/>
      <c r="B18" s="164"/>
      <c r="C18" s="238" t="s">
        <v>27</v>
      </c>
      <c r="D18" s="75"/>
      <c r="E18" s="239"/>
      <c r="F18" s="78">
        <v>24</v>
      </c>
      <c r="G18" s="79">
        <f t="shared" si="0"/>
        <v>38218.02</v>
      </c>
    </row>
    <row r="19" customHeight="1" spans="1:13">
      <c r="A19" s="164"/>
      <c r="B19" s="164"/>
      <c r="C19" s="238" t="s">
        <v>27</v>
      </c>
      <c r="D19" s="75"/>
      <c r="E19" s="239"/>
      <c r="F19" s="78">
        <v>105</v>
      </c>
      <c r="G19" s="79">
        <f t="shared" si="0"/>
        <v>38113.02</v>
      </c>
      <c r="H19" s="79"/>
      <c r="I19" s="77"/>
      <c r="J19" s="77"/>
      <c r="K19" s="77"/>
      <c r="L19" s="77"/>
      <c r="M19" s="77"/>
    </row>
    <row r="20" customHeight="1" spans="1:13">
      <c r="A20" s="164"/>
      <c r="B20" s="164"/>
      <c r="C20" s="238" t="s">
        <v>77</v>
      </c>
      <c r="D20" s="75"/>
      <c r="E20" s="239"/>
      <c r="F20" s="78">
        <v>19810</v>
      </c>
      <c r="G20" s="79">
        <f t="shared" si="0"/>
        <v>18303.02</v>
      </c>
      <c r="H20" s="79"/>
      <c r="I20" s="77"/>
      <c r="J20" s="77"/>
      <c r="K20" s="77"/>
      <c r="L20" s="77"/>
      <c r="M20" s="77"/>
    </row>
    <row r="21" customHeight="1" spans="1:7">
      <c r="A21" s="164"/>
      <c r="B21" s="164"/>
      <c r="C21" s="238" t="s">
        <v>78</v>
      </c>
      <c r="D21" s="75"/>
      <c r="E21" s="239"/>
      <c r="F21" s="78">
        <v>250</v>
      </c>
      <c r="G21" s="79">
        <f t="shared" si="0"/>
        <v>18053.02</v>
      </c>
    </row>
    <row r="22" customHeight="1" spans="1:13">
      <c r="A22" s="164"/>
      <c r="B22" s="164"/>
      <c r="C22" s="238" t="s">
        <v>78</v>
      </c>
      <c r="D22" s="75"/>
      <c r="E22" s="239"/>
      <c r="F22" s="78">
        <v>72.9</v>
      </c>
      <c r="G22" s="79">
        <f t="shared" si="0"/>
        <v>17980.12</v>
      </c>
      <c r="H22" s="79"/>
      <c r="I22" s="77"/>
      <c r="J22" s="77"/>
      <c r="K22" s="77"/>
      <c r="L22" s="77"/>
      <c r="M22" s="77"/>
    </row>
    <row r="23" customHeight="1" spans="1:13">
      <c r="A23" s="164"/>
      <c r="B23" s="164"/>
      <c r="C23" s="238" t="s">
        <v>33</v>
      </c>
      <c r="D23" s="75"/>
      <c r="E23" s="239"/>
      <c r="F23" s="78">
        <v>200</v>
      </c>
      <c r="G23" s="79">
        <f t="shared" si="0"/>
        <v>17780.12</v>
      </c>
      <c r="H23" s="79"/>
      <c r="I23" s="77"/>
      <c r="J23" s="77"/>
      <c r="K23" s="77"/>
      <c r="L23" s="77"/>
      <c r="M23" s="77"/>
    </row>
    <row r="24" customHeight="1" spans="1:7">
      <c r="A24" s="164"/>
      <c r="B24" s="164"/>
      <c r="C24" s="238" t="s">
        <v>27</v>
      </c>
      <c r="D24" s="75"/>
      <c r="E24" s="239"/>
      <c r="F24" s="78">
        <v>20</v>
      </c>
      <c r="G24" s="79">
        <f t="shared" si="0"/>
        <v>17760.12</v>
      </c>
    </row>
    <row r="25" customHeight="1" spans="1:13">
      <c r="A25" s="164" t="s">
        <v>79</v>
      </c>
      <c r="B25" s="164"/>
      <c r="C25" s="238" t="s">
        <v>80</v>
      </c>
      <c r="D25" s="75"/>
      <c r="E25" s="239"/>
      <c r="F25" s="78">
        <v>1175</v>
      </c>
      <c r="G25" s="79">
        <f t="shared" si="0"/>
        <v>16585.12</v>
      </c>
      <c r="H25" s="79"/>
      <c r="I25" s="77"/>
      <c r="J25" s="77"/>
      <c r="K25" s="77"/>
      <c r="L25" s="77"/>
      <c r="M25" s="77"/>
    </row>
    <row r="26" customHeight="1" spans="1:13">
      <c r="A26" s="164"/>
      <c r="B26" s="164"/>
      <c r="C26" s="238" t="s">
        <v>81</v>
      </c>
      <c r="D26" s="75"/>
      <c r="E26" s="239"/>
      <c r="F26" s="78">
        <v>100</v>
      </c>
      <c r="G26" s="79">
        <f t="shared" si="0"/>
        <v>16485.12</v>
      </c>
      <c r="H26" s="79"/>
      <c r="I26" s="77"/>
      <c r="J26" s="77"/>
      <c r="K26" s="77"/>
      <c r="L26" s="77"/>
      <c r="M26" s="77"/>
    </row>
    <row r="27" customHeight="1" spans="1:13">
      <c r="A27" s="164"/>
      <c r="B27" s="164"/>
      <c r="C27" s="238" t="s">
        <v>82</v>
      </c>
      <c r="D27" s="75"/>
      <c r="E27" s="239"/>
      <c r="F27" s="78">
        <v>40</v>
      </c>
      <c r="G27" s="79">
        <f t="shared" si="0"/>
        <v>16445.12</v>
      </c>
      <c r="H27" s="79"/>
      <c r="I27" s="77"/>
      <c r="J27" s="77"/>
      <c r="K27" s="77"/>
      <c r="L27" s="77"/>
      <c r="M27" s="77"/>
    </row>
    <row r="28" customHeight="1" spans="1:13">
      <c r="A28" s="164"/>
      <c r="B28" s="164"/>
      <c r="C28" s="216" t="s">
        <v>83</v>
      </c>
      <c r="D28" s="75"/>
      <c r="E28" s="239">
        <v>111.71</v>
      </c>
      <c r="F28" s="78"/>
      <c r="G28" s="79">
        <f t="shared" si="0"/>
        <v>16556.83</v>
      </c>
      <c r="H28" s="79">
        <f>I28+J28+K28+L28+M28</f>
        <v>16556.83</v>
      </c>
      <c r="I28" s="77">
        <v>0</v>
      </c>
      <c r="J28" s="77">
        <v>985.45</v>
      </c>
      <c r="K28" s="77">
        <v>0</v>
      </c>
      <c r="L28" s="62">
        <v>15567.38</v>
      </c>
      <c r="M28" s="77">
        <v>4</v>
      </c>
    </row>
    <row r="29" customHeight="1" spans="1:13">
      <c r="A29" s="240"/>
      <c r="B29" s="240"/>
      <c r="C29" s="241" t="s">
        <v>45</v>
      </c>
      <c r="D29" s="82"/>
      <c r="E29" s="242"/>
      <c r="F29" s="84">
        <v>45</v>
      </c>
      <c r="G29" s="85">
        <f t="shared" si="0"/>
        <v>16511.83</v>
      </c>
      <c r="H29" s="28"/>
      <c r="I29" s="28"/>
      <c r="J29" s="28"/>
      <c r="K29" s="28"/>
      <c r="L29" s="28"/>
      <c r="M29" s="28"/>
    </row>
    <row r="30" customHeight="1" spans="1:13">
      <c r="A30" s="164"/>
      <c r="B30" s="164"/>
      <c r="C30" s="238" t="s">
        <v>20</v>
      </c>
      <c r="D30" s="75"/>
      <c r="E30" s="239"/>
      <c r="F30" s="78">
        <v>115</v>
      </c>
      <c r="G30" s="79">
        <f t="shared" si="0"/>
        <v>16396.83</v>
      </c>
      <c r="H30" s="79"/>
      <c r="I30" s="77"/>
      <c r="J30" s="77"/>
      <c r="K30" s="77"/>
      <c r="L30" s="77"/>
      <c r="M30" s="77"/>
    </row>
    <row r="31" customHeight="1" spans="1:7">
      <c r="A31" s="164"/>
      <c r="B31" s="164"/>
      <c r="C31" s="238" t="s">
        <v>39</v>
      </c>
      <c r="D31" s="75"/>
      <c r="E31" s="239"/>
      <c r="F31" s="78">
        <v>35</v>
      </c>
      <c r="G31" s="79">
        <f t="shared" si="0"/>
        <v>16361.83</v>
      </c>
    </row>
    <row r="32" customHeight="1" spans="3:7">
      <c r="C32" s="238" t="s">
        <v>84</v>
      </c>
      <c r="D32" s="75"/>
      <c r="E32" s="239"/>
      <c r="F32" s="78">
        <v>837.94</v>
      </c>
      <c r="G32" s="79">
        <f t="shared" si="0"/>
        <v>15523.89</v>
      </c>
    </row>
    <row r="33" customHeight="1" spans="1:13">
      <c r="A33" s="214"/>
      <c r="C33" s="238" t="s">
        <v>45</v>
      </c>
      <c r="D33" s="75"/>
      <c r="E33" s="239"/>
      <c r="F33" s="78">
        <v>45</v>
      </c>
      <c r="G33" s="79">
        <f t="shared" si="0"/>
        <v>15478.89</v>
      </c>
      <c r="H33" s="79"/>
      <c r="I33" s="77"/>
      <c r="J33" s="77"/>
      <c r="K33" s="77"/>
      <c r="L33" s="77"/>
      <c r="M33" s="77"/>
    </row>
    <row r="34" customHeight="1" spans="3:7">
      <c r="C34" s="238" t="s">
        <v>39</v>
      </c>
      <c r="D34" s="75"/>
      <c r="E34" s="239"/>
      <c r="F34" s="78">
        <v>318</v>
      </c>
      <c r="G34" s="79">
        <f t="shared" si="0"/>
        <v>15160.89</v>
      </c>
    </row>
    <row r="35" customHeight="1" spans="3:7">
      <c r="C35" s="238" t="s">
        <v>42</v>
      </c>
      <c r="D35" s="75"/>
      <c r="E35" s="239"/>
      <c r="F35" s="78">
        <v>279</v>
      </c>
      <c r="G35" s="79">
        <f t="shared" si="0"/>
        <v>14881.89</v>
      </c>
    </row>
    <row r="36" customHeight="1" spans="3:7">
      <c r="C36" s="238" t="s">
        <v>39</v>
      </c>
      <c r="D36" s="75"/>
      <c r="E36" s="239"/>
      <c r="F36" s="78">
        <f>68+64+20+38+24+30</f>
        <v>244</v>
      </c>
      <c r="G36" s="79">
        <f t="shared" si="0"/>
        <v>14637.89</v>
      </c>
    </row>
    <row r="37" customHeight="1" spans="3:7">
      <c r="C37" s="238" t="s">
        <v>85</v>
      </c>
      <c r="D37" s="75"/>
      <c r="E37" s="239"/>
      <c r="F37" s="78">
        <f>360+304.5+160</f>
        <v>824.5</v>
      </c>
      <c r="G37" s="79">
        <f t="shared" si="0"/>
        <v>13813.39</v>
      </c>
    </row>
    <row r="38" customHeight="1" spans="3:7">
      <c r="C38" s="238" t="s">
        <v>81</v>
      </c>
      <c r="D38" s="75"/>
      <c r="E38" s="239"/>
      <c r="F38" s="78">
        <v>100</v>
      </c>
      <c r="G38" s="79">
        <f t="shared" si="0"/>
        <v>13713.39</v>
      </c>
    </row>
    <row r="39" customHeight="1" spans="3:7">
      <c r="C39" s="238" t="s">
        <v>39</v>
      </c>
      <c r="D39" s="75"/>
      <c r="E39" s="239"/>
      <c r="F39" s="78">
        <f>92+158+39+60</f>
        <v>349</v>
      </c>
      <c r="G39" s="79">
        <f t="shared" si="0"/>
        <v>13364.39</v>
      </c>
    </row>
    <row r="40" customHeight="1" spans="3:7">
      <c r="C40" s="238" t="s">
        <v>20</v>
      </c>
      <c r="D40" s="75"/>
      <c r="E40" s="239"/>
      <c r="F40" s="78">
        <v>285</v>
      </c>
      <c r="G40" s="79">
        <f t="shared" si="0"/>
        <v>13079.39</v>
      </c>
    </row>
    <row r="41" customHeight="1" spans="1:8">
      <c r="A41" s="214"/>
      <c r="C41" s="238" t="s">
        <v>86</v>
      </c>
      <c r="D41" s="75"/>
      <c r="E41" s="239"/>
      <c r="F41" s="78">
        <v>140</v>
      </c>
      <c r="G41" s="79">
        <f t="shared" si="0"/>
        <v>12939.39</v>
      </c>
      <c r="H41" s="79"/>
    </row>
    <row r="42" customHeight="1" spans="3:7">
      <c r="C42" s="238" t="s">
        <v>42</v>
      </c>
      <c r="D42" s="75"/>
      <c r="E42" s="239"/>
      <c r="F42" s="78">
        <v>48</v>
      </c>
      <c r="G42" s="79">
        <f t="shared" si="0"/>
        <v>12891.39</v>
      </c>
    </row>
    <row r="43" customHeight="1" spans="3:7">
      <c r="C43" s="238" t="s">
        <v>45</v>
      </c>
      <c r="D43" s="75"/>
      <c r="E43" s="239"/>
      <c r="F43" s="78">
        <v>30</v>
      </c>
      <c r="G43" s="79">
        <f t="shared" si="0"/>
        <v>12861.39</v>
      </c>
    </row>
    <row r="44" customHeight="1" spans="3:7">
      <c r="C44" s="238" t="s">
        <v>20</v>
      </c>
      <c r="D44" s="75"/>
      <c r="E44" s="239"/>
      <c r="F44" s="78">
        <v>75</v>
      </c>
      <c r="G44" s="79">
        <f t="shared" si="0"/>
        <v>12786.39</v>
      </c>
    </row>
    <row r="45" customHeight="1" spans="3:7">
      <c r="C45" s="238" t="s">
        <v>33</v>
      </c>
      <c r="D45" s="75"/>
      <c r="E45" s="239"/>
      <c r="F45" s="78">
        <v>200</v>
      </c>
      <c r="G45" s="79">
        <f t="shared" si="0"/>
        <v>12586.39</v>
      </c>
    </row>
    <row r="46" customHeight="1" spans="3:7">
      <c r="C46" s="238" t="s">
        <v>38</v>
      </c>
      <c r="D46" s="75"/>
      <c r="E46" s="239"/>
      <c r="F46" s="78">
        <v>100</v>
      </c>
      <c r="G46" s="79">
        <f t="shared" si="0"/>
        <v>12486.39</v>
      </c>
    </row>
    <row r="47" customHeight="1" spans="1:13">
      <c r="A47" s="62" t="s">
        <v>87</v>
      </c>
      <c r="C47" s="216" t="s">
        <v>83</v>
      </c>
      <c r="D47" s="75"/>
      <c r="E47" s="239"/>
      <c r="F47" s="78">
        <v>850</v>
      </c>
      <c r="G47" s="79">
        <f t="shared" si="0"/>
        <v>11636.39</v>
      </c>
      <c r="H47" s="79">
        <f>I47+J47+K47+L47+M47</f>
        <v>11636.39</v>
      </c>
      <c r="I47" s="77">
        <v>0</v>
      </c>
      <c r="J47" s="77">
        <v>985.45</v>
      </c>
      <c r="K47" s="77">
        <v>0</v>
      </c>
      <c r="L47" s="62">
        <v>5677.94</v>
      </c>
      <c r="M47" s="77">
        <f>4500+400+60+5+8</f>
        <v>4973</v>
      </c>
    </row>
    <row r="48" customHeight="1" spans="1:13">
      <c r="A48" s="28"/>
      <c r="B48" s="28"/>
      <c r="C48" s="241" t="s">
        <v>88</v>
      </c>
      <c r="D48" s="82"/>
      <c r="E48" s="242"/>
      <c r="F48" s="84">
        <v>195</v>
      </c>
      <c r="G48" s="85">
        <f t="shared" si="0"/>
        <v>11441.39</v>
      </c>
      <c r="H48" s="28"/>
      <c r="I48" s="28"/>
      <c r="J48" s="28"/>
      <c r="K48" s="28"/>
      <c r="L48" s="28"/>
      <c r="M48" s="28"/>
    </row>
    <row r="49" customHeight="1" spans="3:7">
      <c r="C49" s="238" t="s">
        <v>89</v>
      </c>
      <c r="D49" s="75"/>
      <c r="E49" s="239"/>
      <c r="F49" s="78">
        <v>1026</v>
      </c>
      <c r="G49" s="79">
        <f t="shared" si="0"/>
        <v>10415.39</v>
      </c>
    </row>
    <row r="50" customHeight="1" spans="3:13">
      <c r="C50" s="238" t="s">
        <v>90</v>
      </c>
      <c r="D50" s="75"/>
      <c r="E50" s="239"/>
      <c r="F50" s="78">
        <v>599</v>
      </c>
      <c r="G50" s="79">
        <f t="shared" si="0"/>
        <v>9816.38999999999</v>
      </c>
      <c r="H50" s="79"/>
      <c r="I50" s="77"/>
      <c r="J50" s="77"/>
      <c r="K50" s="77"/>
      <c r="L50" s="77"/>
      <c r="M50" s="77"/>
    </row>
    <row r="51" customHeight="1" spans="3:7">
      <c r="C51" s="238" t="s">
        <v>91</v>
      </c>
      <c r="D51" s="75"/>
      <c r="E51" s="239"/>
      <c r="F51" s="78">
        <v>331.5</v>
      </c>
      <c r="G51" s="79">
        <f t="shared" si="0"/>
        <v>9484.88999999999</v>
      </c>
    </row>
    <row r="52" customHeight="1" spans="3:7">
      <c r="C52" s="238" t="s">
        <v>39</v>
      </c>
      <c r="D52" s="75"/>
      <c r="E52" s="239"/>
      <c r="F52" s="78">
        <v>40</v>
      </c>
      <c r="G52" s="79">
        <f t="shared" si="0"/>
        <v>9444.88999999999</v>
      </c>
    </row>
    <row r="53" customHeight="1" spans="3:7">
      <c r="C53" s="238" t="s">
        <v>39</v>
      </c>
      <c r="D53" s="75"/>
      <c r="E53" s="239"/>
      <c r="F53" s="78">
        <v>45</v>
      </c>
      <c r="G53" s="79">
        <f t="shared" si="0"/>
        <v>9399.88999999999</v>
      </c>
    </row>
    <row r="54" customHeight="1" spans="3:7">
      <c r="C54" s="238" t="s">
        <v>39</v>
      </c>
      <c r="D54" s="75"/>
      <c r="E54" s="239"/>
      <c r="F54" s="78">
        <v>30</v>
      </c>
      <c r="G54" s="79">
        <f t="shared" si="0"/>
        <v>9369.88999999999</v>
      </c>
    </row>
    <row r="55" customHeight="1" spans="3:7">
      <c r="C55" s="238" t="s">
        <v>44</v>
      </c>
      <c r="D55" s="75"/>
      <c r="E55" s="239"/>
      <c r="F55" s="78">
        <v>75</v>
      </c>
      <c r="G55" s="79">
        <f t="shared" si="0"/>
        <v>9294.88999999999</v>
      </c>
    </row>
    <row r="56" customHeight="1" spans="1:7">
      <c r="A56" s="62" t="s">
        <v>92</v>
      </c>
      <c r="C56" s="238" t="s">
        <v>37</v>
      </c>
      <c r="D56" s="75"/>
      <c r="E56" s="239"/>
      <c r="F56" s="78">
        <v>100</v>
      </c>
      <c r="G56" s="79">
        <f t="shared" si="0"/>
        <v>9194.88999999999</v>
      </c>
    </row>
    <row r="57" customHeight="1" spans="3:7">
      <c r="C57" s="238" t="s">
        <v>39</v>
      </c>
      <c r="D57" s="75"/>
      <c r="E57" s="239"/>
      <c r="F57" s="78">
        <v>44</v>
      </c>
      <c r="G57" s="79">
        <f t="shared" si="0"/>
        <v>9150.88999999999</v>
      </c>
    </row>
    <row r="58" customHeight="1" spans="3:13">
      <c r="C58" s="216" t="s">
        <v>83</v>
      </c>
      <c r="D58" s="75"/>
      <c r="E58" s="239"/>
      <c r="F58" s="78">
        <v>12.9</v>
      </c>
      <c r="G58" s="79">
        <f t="shared" si="0"/>
        <v>9137.98999999999</v>
      </c>
      <c r="H58" s="79">
        <f>I58+J58+K58+L58+M58</f>
        <v>9137.99</v>
      </c>
      <c r="I58" s="77">
        <v>0</v>
      </c>
      <c r="J58" s="77">
        <v>985.45</v>
      </c>
      <c r="K58" s="77">
        <v>0</v>
      </c>
      <c r="L58" s="62">
        <v>3370.54</v>
      </c>
      <c r="M58" s="77">
        <f>4500+100+180+2</f>
        <v>4782</v>
      </c>
    </row>
    <row r="59" customHeight="1" spans="1:13">
      <c r="A59" s="120" t="s">
        <v>93</v>
      </c>
      <c r="B59" s="28"/>
      <c r="C59" s="241" t="s">
        <v>94</v>
      </c>
      <c r="D59" s="82"/>
      <c r="E59" s="242">
        <v>4000</v>
      </c>
      <c r="F59" s="84"/>
      <c r="G59" s="85">
        <f t="shared" si="0"/>
        <v>13137.99</v>
      </c>
      <c r="H59" s="85"/>
      <c r="I59" s="86"/>
      <c r="J59" s="86"/>
      <c r="K59" s="86"/>
      <c r="L59" s="86"/>
      <c r="M59" s="86"/>
    </row>
    <row r="60" customHeight="1" spans="3:7">
      <c r="C60" s="238" t="s">
        <v>16</v>
      </c>
      <c r="D60" s="75"/>
      <c r="E60" s="239"/>
      <c r="F60" s="78">
        <v>100</v>
      </c>
      <c r="G60" s="79">
        <f t="shared" si="0"/>
        <v>13037.99</v>
      </c>
    </row>
    <row r="61" customHeight="1" spans="3:7">
      <c r="C61" s="238" t="s">
        <v>17</v>
      </c>
      <c r="D61" s="75"/>
      <c r="E61" s="239"/>
      <c r="F61" s="78">
        <v>120</v>
      </c>
      <c r="G61" s="79">
        <f t="shared" si="0"/>
        <v>12917.99</v>
      </c>
    </row>
    <row r="62" customHeight="1" spans="3:13">
      <c r="C62" s="238" t="s">
        <v>54</v>
      </c>
      <c r="D62" s="75"/>
      <c r="E62" s="239"/>
      <c r="F62" s="78">
        <v>3993</v>
      </c>
      <c r="G62" s="79">
        <f t="shared" si="0"/>
        <v>8924.98999999999</v>
      </c>
      <c r="H62" s="79"/>
      <c r="I62" s="77"/>
      <c r="J62" s="77"/>
      <c r="K62" s="77"/>
      <c r="M62" s="77"/>
    </row>
    <row r="63" customHeight="1" spans="3:7">
      <c r="C63" s="238" t="s">
        <v>39</v>
      </c>
      <c r="D63" s="75"/>
      <c r="E63" s="239"/>
      <c r="F63" s="78">
        <v>168</v>
      </c>
      <c r="G63" s="79">
        <f t="shared" si="0"/>
        <v>8756.98999999999</v>
      </c>
    </row>
    <row r="64" customHeight="1" spans="3:7">
      <c r="C64" s="238" t="s">
        <v>95</v>
      </c>
      <c r="D64" s="75"/>
      <c r="E64" s="239"/>
      <c r="F64" s="78">
        <v>898</v>
      </c>
      <c r="G64" s="79">
        <f t="shared" si="0"/>
        <v>7858.98999999999</v>
      </c>
    </row>
    <row r="65" customHeight="1" spans="3:7">
      <c r="C65" s="238" t="s">
        <v>44</v>
      </c>
      <c r="D65" s="75"/>
      <c r="E65" s="239"/>
      <c r="F65" s="78">
        <v>89</v>
      </c>
      <c r="G65" s="79">
        <f t="shared" si="0"/>
        <v>7769.98999999999</v>
      </c>
    </row>
    <row r="66" customHeight="1" spans="1:7">
      <c r="A66" s="62" t="s">
        <v>96</v>
      </c>
      <c r="C66" s="238" t="s">
        <v>17</v>
      </c>
      <c r="D66" s="75"/>
      <c r="E66" s="239"/>
      <c r="F66" s="78">
        <v>115</v>
      </c>
      <c r="G66" s="79">
        <f t="shared" si="0"/>
        <v>7654.98999999999</v>
      </c>
    </row>
    <row r="67" customHeight="1" spans="3:7">
      <c r="C67" s="238" t="s">
        <v>62</v>
      </c>
      <c r="D67" s="75"/>
      <c r="E67" s="239"/>
      <c r="F67" s="78">
        <v>148</v>
      </c>
      <c r="G67" s="79">
        <f t="shared" si="0"/>
        <v>7506.98999999999</v>
      </c>
    </row>
    <row r="68" customHeight="1" spans="3:7">
      <c r="C68" s="238" t="s">
        <v>19</v>
      </c>
      <c r="D68" s="75"/>
      <c r="E68" s="239"/>
      <c r="F68" s="78">
        <v>25</v>
      </c>
      <c r="G68" s="79">
        <f t="shared" si="0"/>
        <v>7481.98999999999</v>
      </c>
    </row>
    <row r="69" customHeight="1" spans="1:13">
      <c r="A69" s="62" t="s">
        <v>96</v>
      </c>
      <c r="C69" s="238" t="s">
        <v>39</v>
      </c>
      <c r="D69" s="75"/>
      <c r="E69" s="239"/>
      <c r="F69" s="78">
        <v>268</v>
      </c>
      <c r="G69" s="79">
        <f t="shared" si="0"/>
        <v>7213.98999999999</v>
      </c>
      <c r="H69" s="79">
        <f>I69+J69+K69+L69+M69</f>
        <v>7213.99</v>
      </c>
      <c r="I69" s="77">
        <v>0</v>
      </c>
      <c r="J69" s="77">
        <v>985.45</v>
      </c>
      <c r="K69" s="77">
        <v>0</v>
      </c>
      <c r="L69" s="62">
        <v>1964.54</v>
      </c>
      <c r="M69" s="77">
        <f>4000+200+40+24</f>
        <v>4264</v>
      </c>
    </row>
    <row r="70" customHeight="1" spans="1:13">
      <c r="A70" s="28"/>
      <c r="B70" s="28"/>
      <c r="C70" s="241" t="s">
        <v>60</v>
      </c>
      <c r="D70" s="82"/>
      <c r="E70" s="242"/>
      <c r="F70" s="84">
        <v>250.9</v>
      </c>
      <c r="G70" s="85">
        <f t="shared" si="0"/>
        <v>6963.08999999999</v>
      </c>
      <c r="H70" s="28"/>
      <c r="I70" s="28"/>
      <c r="J70" s="28"/>
      <c r="K70" s="28"/>
      <c r="L70" s="28"/>
      <c r="M70" s="28"/>
    </row>
    <row r="71" customHeight="1" spans="3:7">
      <c r="C71" s="238" t="s">
        <v>39</v>
      </c>
      <c r="D71" s="75"/>
      <c r="E71" s="239"/>
      <c r="F71" s="78">
        <v>56</v>
      </c>
      <c r="G71" s="79">
        <f t="shared" si="0"/>
        <v>6907.08999999999</v>
      </c>
    </row>
    <row r="72" customHeight="1" spans="3:7">
      <c r="C72" s="238" t="s">
        <v>44</v>
      </c>
      <c r="D72" s="75"/>
      <c r="E72" s="239"/>
      <c r="F72" s="78">
        <v>163</v>
      </c>
      <c r="G72" s="79">
        <f t="shared" si="0"/>
        <v>6744.08999999999</v>
      </c>
    </row>
    <row r="73" customHeight="1" spans="3:7">
      <c r="C73" s="238" t="s">
        <v>20</v>
      </c>
      <c r="D73" s="75"/>
      <c r="E73" s="239"/>
      <c r="F73" s="78">
        <v>95</v>
      </c>
      <c r="G73" s="79">
        <f t="shared" si="0"/>
        <v>6649.08999999999</v>
      </c>
    </row>
    <row r="74" customHeight="1" spans="1:13">
      <c r="A74" s="62" t="s">
        <v>97</v>
      </c>
      <c r="C74" s="238" t="s">
        <v>39</v>
      </c>
      <c r="D74" s="75"/>
      <c r="E74" s="239"/>
      <c r="F74" s="78">
        <v>24</v>
      </c>
      <c r="G74" s="79">
        <f t="shared" si="0"/>
        <v>6625.08999999999</v>
      </c>
      <c r="H74" s="79">
        <f>I74+J74+K74+L74+M74</f>
        <v>6625.09</v>
      </c>
      <c r="I74" s="77">
        <v>0</v>
      </c>
      <c r="J74" s="77">
        <v>985.45</v>
      </c>
      <c r="K74" s="77">
        <v>0</v>
      </c>
      <c r="L74" s="62">
        <v>1375.64</v>
      </c>
      <c r="M74" s="77">
        <f>4000+200+40+24</f>
        <v>4264</v>
      </c>
    </row>
    <row r="75" customHeight="1" spans="1:13">
      <c r="A75" s="28"/>
      <c r="B75" s="28"/>
      <c r="C75" s="241" t="s">
        <v>45</v>
      </c>
      <c r="D75" s="82"/>
      <c r="E75" s="242"/>
      <c r="F75" s="84">
        <v>45</v>
      </c>
      <c r="G75" s="85">
        <f t="shared" si="0"/>
        <v>6580.08999999999</v>
      </c>
      <c r="H75" s="28"/>
      <c r="I75" s="28"/>
      <c r="J75" s="28"/>
      <c r="K75" s="28"/>
      <c r="L75" s="28"/>
      <c r="M75" s="28"/>
    </row>
    <row r="76" customHeight="1" spans="3:7">
      <c r="C76" s="238" t="s">
        <v>39</v>
      </c>
      <c r="D76" s="75"/>
      <c r="E76" s="239"/>
      <c r="F76" s="78">
        <v>40</v>
      </c>
      <c r="G76" s="79">
        <f t="shared" si="0"/>
        <v>6540.08999999999</v>
      </c>
    </row>
    <row r="77" customHeight="1" spans="3:7">
      <c r="C77" s="238" t="s">
        <v>59</v>
      </c>
      <c r="D77" s="75"/>
      <c r="E77" s="239"/>
      <c r="F77" s="78">
        <v>115</v>
      </c>
      <c r="G77" s="79">
        <f t="shared" si="0"/>
        <v>6425.08999999999</v>
      </c>
    </row>
    <row r="78" customHeight="1" spans="3:13">
      <c r="C78" s="238" t="s">
        <v>16</v>
      </c>
      <c r="D78" s="75"/>
      <c r="E78" s="239"/>
      <c r="F78" s="78">
        <v>100</v>
      </c>
      <c r="G78" s="79">
        <f t="shared" si="0"/>
        <v>6325.08999999999</v>
      </c>
      <c r="H78" s="79"/>
      <c r="I78" s="77"/>
      <c r="J78" s="77"/>
      <c r="K78" s="77"/>
      <c r="M78" s="77"/>
    </row>
    <row r="79" customHeight="1" spans="3:7">
      <c r="C79" s="238" t="s">
        <v>39</v>
      </c>
      <c r="D79" s="75"/>
      <c r="E79" s="239"/>
      <c r="F79" s="78">
        <v>40</v>
      </c>
      <c r="G79" s="79">
        <f t="shared" si="0"/>
        <v>6285.08999999999</v>
      </c>
    </row>
    <row r="80" customHeight="1" spans="3:7">
      <c r="C80" s="238" t="s">
        <v>22</v>
      </c>
      <c r="D80" s="75"/>
      <c r="E80" s="239"/>
      <c r="F80" s="78">
        <v>180</v>
      </c>
      <c r="G80" s="79">
        <f t="shared" si="0"/>
        <v>6105.08999999999</v>
      </c>
    </row>
    <row r="81" customHeight="1" spans="3:7">
      <c r="C81" s="238" t="s">
        <v>98</v>
      </c>
      <c r="D81" s="75"/>
      <c r="E81" s="239"/>
      <c r="F81" s="78">
        <v>1000</v>
      </c>
      <c r="G81" s="79">
        <f t="shared" si="0"/>
        <v>5105.08999999999</v>
      </c>
    </row>
    <row r="82" customHeight="1" spans="1:13">
      <c r="A82" s="62" t="s">
        <v>99</v>
      </c>
      <c r="C82" s="238" t="s">
        <v>100</v>
      </c>
      <c r="D82" s="75"/>
      <c r="E82" s="239"/>
      <c r="F82" s="78">
        <v>100</v>
      </c>
      <c r="G82" s="79">
        <f t="shared" si="0"/>
        <v>5005.08999999999</v>
      </c>
      <c r="H82" s="79">
        <f>I82+J82+K82+L82+M82</f>
        <v>5005.09</v>
      </c>
      <c r="I82" s="77">
        <v>0</v>
      </c>
      <c r="J82" s="77">
        <v>985.45</v>
      </c>
      <c r="K82" s="77">
        <v>0</v>
      </c>
      <c r="L82" s="62">
        <f>901.64+54</f>
        <v>955.64</v>
      </c>
      <c r="M82" s="77">
        <f>3000+40+24</f>
        <v>3064</v>
      </c>
    </row>
    <row r="83" customHeight="1" spans="1:13">
      <c r="A83" s="28"/>
      <c r="B83" s="28"/>
      <c r="C83" s="241" t="s">
        <v>39</v>
      </c>
      <c r="D83" s="82"/>
      <c r="E83" s="242"/>
      <c r="F83" s="84">
        <v>54</v>
      </c>
      <c r="G83" s="85">
        <f t="shared" si="0"/>
        <v>4951.08999999999</v>
      </c>
      <c r="H83" s="85"/>
      <c r="I83" s="86"/>
      <c r="J83" s="86"/>
      <c r="K83" s="86"/>
      <c r="L83" s="28"/>
      <c r="M83" s="86"/>
    </row>
    <row r="84" customHeight="1" spans="3:7">
      <c r="C84" s="238" t="s">
        <v>101</v>
      </c>
      <c r="D84" s="75"/>
      <c r="E84" s="239"/>
      <c r="F84" s="78">
        <v>120</v>
      </c>
      <c r="G84" s="79">
        <f t="shared" si="0"/>
        <v>4831.08999999999</v>
      </c>
    </row>
    <row r="85" customHeight="1" spans="3:13">
      <c r="C85" s="238" t="s">
        <v>102</v>
      </c>
      <c r="D85" s="75"/>
      <c r="E85" s="239"/>
      <c r="F85" s="78">
        <v>50</v>
      </c>
      <c r="G85" s="79">
        <f t="shared" si="0"/>
        <v>4781.08999999999</v>
      </c>
      <c r="H85" s="79"/>
      <c r="I85" s="77"/>
      <c r="J85" s="77"/>
      <c r="K85" s="77"/>
      <c r="L85" s="77"/>
      <c r="M85" s="77"/>
    </row>
    <row r="86" customHeight="1" spans="1:7">
      <c r="A86" s="62"/>
      <c r="B86" s="62"/>
      <c r="C86" s="238" t="s">
        <v>102</v>
      </c>
      <c r="D86" s="75"/>
      <c r="E86" s="239"/>
      <c r="F86" s="78">
        <f>205-53</f>
        <v>152</v>
      </c>
      <c r="G86" s="79">
        <f t="shared" si="0"/>
        <v>4629.08999999999</v>
      </c>
    </row>
    <row r="87" customHeight="1" spans="3:7">
      <c r="C87" s="238" t="s">
        <v>39</v>
      </c>
      <c r="D87" s="75"/>
      <c r="E87" s="239"/>
      <c r="F87" s="78">
        <v>113</v>
      </c>
      <c r="G87" s="79">
        <f t="shared" si="0"/>
        <v>4516.08999999999</v>
      </c>
    </row>
    <row r="88" customHeight="1" spans="1:13">
      <c r="A88" s="62" t="s">
        <v>103</v>
      </c>
      <c r="C88" s="238" t="s">
        <v>104</v>
      </c>
      <c r="D88" s="75"/>
      <c r="E88" s="239"/>
      <c r="F88" s="78">
        <v>33</v>
      </c>
      <c r="G88" s="79">
        <f t="shared" si="0"/>
        <v>4483.08999999999</v>
      </c>
      <c r="H88" s="79">
        <f>I88+J88+K88+L88+M88</f>
        <v>4483.09</v>
      </c>
      <c r="I88" s="77">
        <v>0</v>
      </c>
      <c r="J88" s="77">
        <v>985.45</v>
      </c>
      <c r="K88" s="77">
        <v>0</v>
      </c>
      <c r="L88" s="62">
        <f>433.64</f>
        <v>433.64</v>
      </c>
      <c r="M88" s="77">
        <f>3000+40+24</f>
        <v>3064</v>
      </c>
    </row>
    <row r="89" customHeight="1" spans="1:13">
      <c r="A89" s="28"/>
      <c r="B89" s="28"/>
      <c r="C89" s="241"/>
      <c r="D89" s="82"/>
      <c r="E89" s="242"/>
      <c r="F89" s="84"/>
      <c r="G89" s="85">
        <f t="shared" si="0"/>
        <v>4483.08999999999</v>
      </c>
      <c r="H89" s="28"/>
      <c r="I89" s="28"/>
      <c r="J89" s="28"/>
      <c r="K89" s="28"/>
      <c r="L89" s="28"/>
      <c r="M89" s="28"/>
    </row>
    <row r="90" customHeight="1" spans="3:7">
      <c r="C90" s="238"/>
      <c r="D90" s="75"/>
      <c r="E90" s="239"/>
      <c r="F90" s="78"/>
      <c r="G90" s="79">
        <f t="shared" si="0"/>
        <v>4483.08999999999</v>
      </c>
    </row>
    <row r="91" customHeight="1" spans="3:7">
      <c r="C91" s="238"/>
      <c r="D91" s="75"/>
      <c r="E91" s="239"/>
      <c r="F91" s="78"/>
      <c r="G91" s="79">
        <f t="shared" si="0"/>
        <v>4483.08999999999</v>
      </c>
    </row>
    <row r="92" customHeight="1" spans="3:7">
      <c r="C92" s="238"/>
      <c r="D92" s="75"/>
      <c r="E92" s="239"/>
      <c r="F92" s="78"/>
      <c r="G92" s="79">
        <f t="shared" si="0"/>
        <v>4483.08999999999</v>
      </c>
    </row>
    <row r="93" customHeight="1" spans="3:7">
      <c r="C93" s="238"/>
      <c r="D93" s="75"/>
      <c r="E93" s="239"/>
      <c r="F93" s="78"/>
      <c r="G93" s="79">
        <f t="shared" si="0"/>
        <v>4483.08999999999</v>
      </c>
    </row>
    <row r="94" customHeight="1" spans="3:13">
      <c r="C94" s="238"/>
      <c r="D94" s="75"/>
      <c r="E94" s="239"/>
      <c r="F94" s="78"/>
      <c r="G94" s="79">
        <f t="shared" si="0"/>
        <v>4483.08999999999</v>
      </c>
      <c r="H94" s="79"/>
      <c r="I94" s="77"/>
      <c r="J94" s="77"/>
      <c r="K94" s="77"/>
      <c r="M94" s="77"/>
    </row>
    <row r="95" customHeight="1" spans="3:7">
      <c r="C95" s="238"/>
      <c r="D95" s="75"/>
      <c r="E95" s="239"/>
      <c r="F95" s="78"/>
      <c r="G95" s="79">
        <f t="shared" si="0"/>
        <v>4483.08999999999</v>
      </c>
    </row>
    <row r="96" customHeight="1" spans="3:7">
      <c r="C96" s="238"/>
      <c r="D96" s="75"/>
      <c r="E96" s="239"/>
      <c r="F96" s="78"/>
      <c r="G96" s="79">
        <f t="shared" si="0"/>
        <v>4483.08999999999</v>
      </c>
    </row>
    <row r="97" customHeight="1" spans="3:7">
      <c r="C97" s="238"/>
      <c r="D97" s="75"/>
      <c r="E97" s="239"/>
      <c r="F97" s="78"/>
      <c r="G97" s="79">
        <f t="shared" si="0"/>
        <v>4483.08999999999</v>
      </c>
    </row>
    <row r="98" customHeight="1" spans="3:7">
      <c r="C98" s="238"/>
      <c r="D98" s="75"/>
      <c r="E98" s="239"/>
      <c r="F98" s="78"/>
      <c r="G98" s="79">
        <f t="shared" si="0"/>
        <v>4483.08999999999</v>
      </c>
    </row>
    <row r="99" customHeight="1" spans="3:7">
      <c r="C99" s="238"/>
      <c r="D99" s="75"/>
      <c r="E99" s="239"/>
      <c r="F99" s="78"/>
      <c r="G99" s="79">
        <f t="shared" si="0"/>
        <v>4483.08999999999</v>
      </c>
    </row>
    <row r="100" customHeight="1" spans="3:13">
      <c r="C100" s="238"/>
      <c r="D100" s="75"/>
      <c r="E100" s="239"/>
      <c r="F100" s="78"/>
      <c r="G100" s="79">
        <f t="shared" si="0"/>
        <v>4483.08999999999</v>
      </c>
      <c r="H100" s="79"/>
      <c r="I100" s="77"/>
      <c r="J100" s="77"/>
      <c r="K100" s="77"/>
      <c r="L100" s="77"/>
      <c r="M100" s="77"/>
    </row>
    <row r="101" customHeight="1" spans="3:7">
      <c r="C101" s="238"/>
      <c r="D101" s="75"/>
      <c r="E101" s="239"/>
      <c r="F101" s="78"/>
      <c r="G101" s="79">
        <f t="shared" si="0"/>
        <v>4483.08999999999</v>
      </c>
    </row>
    <row r="102" customHeight="1" spans="3:7">
      <c r="C102" s="238"/>
      <c r="D102" s="75"/>
      <c r="E102" s="239"/>
      <c r="F102" s="78"/>
      <c r="G102" s="79">
        <f t="shared" si="0"/>
        <v>4483.08999999999</v>
      </c>
    </row>
    <row r="103" customHeight="1" spans="3:7">
      <c r="C103" s="238"/>
      <c r="D103" s="75"/>
      <c r="E103" s="239"/>
      <c r="F103" s="78"/>
      <c r="G103" s="79">
        <f t="shared" si="0"/>
        <v>4483.08999999999</v>
      </c>
    </row>
    <row r="104" customHeight="1" spans="3:7">
      <c r="C104" s="238"/>
      <c r="D104" s="75"/>
      <c r="E104" s="239"/>
      <c r="F104" s="78"/>
      <c r="G104" s="79">
        <f t="shared" si="0"/>
        <v>4483.08999999999</v>
      </c>
    </row>
    <row r="105" customHeight="1" spans="3:7">
      <c r="C105" s="238"/>
      <c r="D105" s="75"/>
      <c r="E105" s="239"/>
      <c r="F105" s="78"/>
      <c r="G105" s="79">
        <f t="shared" si="0"/>
        <v>4483.08999999999</v>
      </c>
    </row>
    <row r="106" customHeight="1" spans="3:7">
      <c r="C106" s="238"/>
      <c r="D106" s="75"/>
      <c r="E106" s="239"/>
      <c r="F106" s="78"/>
      <c r="G106" s="79">
        <f t="shared" si="0"/>
        <v>4483.08999999999</v>
      </c>
    </row>
    <row r="107" customHeight="1" spans="3:7">
      <c r="C107" s="238"/>
      <c r="D107" s="75"/>
      <c r="E107" s="239"/>
      <c r="F107" s="78"/>
      <c r="G107" s="79">
        <f t="shared" si="0"/>
        <v>4483.08999999999</v>
      </c>
    </row>
    <row r="108" customHeight="1" spans="3:7">
      <c r="C108" s="238"/>
      <c r="D108" s="75"/>
      <c r="E108" s="239"/>
      <c r="F108" s="78"/>
      <c r="G108" s="79">
        <f t="shared" si="0"/>
        <v>4483.08999999999</v>
      </c>
    </row>
    <row r="109" customHeight="1" spans="3:7">
      <c r="C109" s="238"/>
      <c r="D109" s="75"/>
      <c r="E109" s="239"/>
      <c r="F109" s="78"/>
      <c r="G109" s="79">
        <f t="shared" si="0"/>
        <v>4483.08999999999</v>
      </c>
    </row>
    <row r="110" customHeight="1" spans="3:7">
      <c r="C110" s="238"/>
      <c r="D110" s="75"/>
      <c r="E110" s="239"/>
      <c r="F110" s="78"/>
      <c r="G110" s="79">
        <f t="shared" si="0"/>
        <v>4483.08999999999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10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3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164" t="s">
        <v>105</v>
      </c>
      <c r="B3" s="164"/>
      <c r="C3" s="238" t="s">
        <v>14</v>
      </c>
      <c r="D3" s="75"/>
      <c r="E3" s="239">
        <v>33199</v>
      </c>
      <c r="F3" s="78"/>
      <c r="G3" s="79">
        <f>E3-F3</f>
        <v>33199</v>
      </c>
      <c r="H3" s="79"/>
      <c r="I3" s="77"/>
      <c r="J3" s="77"/>
      <c r="K3" s="77"/>
      <c r="L3" s="77"/>
      <c r="M3" s="77"/>
    </row>
    <row r="4" customHeight="1" spans="1:13">
      <c r="A4" s="164"/>
      <c r="B4" s="164"/>
      <c r="C4" s="238" t="s">
        <v>15</v>
      </c>
      <c r="D4" s="75"/>
      <c r="E4" s="239">
        <v>4483.09</v>
      </c>
      <c r="F4" s="78"/>
      <c r="G4" s="79">
        <f t="shared" ref="G4:G110" si="0">(E4-F4)+G3</f>
        <v>37682.09</v>
      </c>
      <c r="H4" s="79"/>
      <c r="I4" s="77"/>
      <c r="J4" s="77"/>
      <c r="K4" s="77"/>
      <c r="L4" s="77"/>
      <c r="M4" s="77"/>
    </row>
    <row r="5" customHeight="1" spans="1:13">
      <c r="A5" s="164"/>
      <c r="B5" s="164"/>
      <c r="C5" s="238" t="s">
        <v>44</v>
      </c>
      <c r="D5" s="75"/>
      <c r="E5" s="239"/>
      <c r="F5" s="78">
        <v>50</v>
      </c>
      <c r="G5" s="79">
        <f t="shared" si="0"/>
        <v>37632.09</v>
      </c>
      <c r="H5" s="79"/>
      <c r="I5" s="77"/>
      <c r="J5" s="77"/>
      <c r="K5" s="77"/>
      <c r="L5" s="77"/>
      <c r="M5" s="77"/>
    </row>
    <row r="6" customHeight="1" spans="1:13">
      <c r="A6" s="164"/>
      <c r="B6" s="164"/>
      <c r="C6" s="238" t="s">
        <v>106</v>
      </c>
      <c r="D6" s="75"/>
      <c r="E6" s="239"/>
      <c r="F6" s="78">
        <v>24</v>
      </c>
      <c r="G6" s="79">
        <f t="shared" si="0"/>
        <v>37608.09</v>
      </c>
      <c r="H6" s="79"/>
      <c r="I6" s="77"/>
      <c r="J6" s="77"/>
      <c r="K6" s="77"/>
      <c r="L6" s="77"/>
      <c r="M6" s="77"/>
    </row>
    <row r="7" customHeight="1" spans="1:13">
      <c r="A7" s="164"/>
      <c r="B7" s="164"/>
      <c r="C7" s="238" t="s">
        <v>20</v>
      </c>
      <c r="D7" s="75"/>
      <c r="E7" s="239"/>
      <c r="F7" s="78">
        <v>115</v>
      </c>
      <c r="G7" s="79">
        <f t="shared" si="0"/>
        <v>37493.09</v>
      </c>
      <c r="H7" s="79"/>
      <c r="I7" s="77"/>
      <c r="J7" s="77"/>
      <c r="K7" s="77"/>
      <c r="L7" s="77"/>
      <c r="M7" s="77"/>
    </row>
    <row r="8" customHeight="1" spans="1:13">
      <c r="A8" s="164"/>
      <c r="B8" s="164"/>
      <c r="C8" s="238" t="s">
        <v>107</v>
      </c>
      <c r="D8" s="75"/>
      <c r="E8" s="239">
        <v>13600</v>
      </c>
      <c r="F8" s="78"/>
      <c r="G8" s="79">
        <f t="shared" si="0"/>
        <v>51093.09</v>
      </c>
      <c r="H8" s="79"/>
      <c r="I8" s="77"/>
      <c r="J8" s="77"/>
      <c r="K8" s="77"/>
      <c r="L8" s="77"/>
      <c r="M8" s="77"/>
    </row>
    <row r="9" customHeight="1" spans="1:13">
      <c r="A9" s="164"/>
      <c r="B9" s="164"/>
      <c r="C9" s="238" t="s">
        <v>45</v>
      </c>
      <c r="D9" s="75"/>
      <c r="E9" s="239"/>
      <c r="F9" s="78">
        <v>25</v>
      </c>
      <c r="G9" s="79">
        <f t="shared" si="0"/>
        <v>51068.09</v>
      </c>
      <c r="H9" s="79"/>
      <c r="I9" s="77"/>
      <c r="J9" s="77"/>
      <c r="K9" s="77"/>
      <c r="L9" s="77"/>
      <c r="M9" s="77"/>
    </row>
    <row r="10" customHeight="1" spans="1:13">
      <c r="A10" s="164" t="s">
        <v>108</v>
      </c>
      <c r="B10" s="164"/>
      <c r="C10" s="238" t="s">
        <v>109</v>
      </c>
      <c r="D10" s="75"/>
      <c r="E10" s="239">
        <v>219</v>
      </c>
      <c r="F10" s="78"/>
      <c r="G10" s="79">
        <f t="shared" si="0"/>
        <v>51287.09</v>
      </c>
      <c r="H10" s="79"/>
      <c r="I10" s="77"/>
      <c r="J10" s="77"/>
      <c r="K10" s="77"/>
      <c r="L10" s="77"/>
      <c r="M10" s="77"/>
    </row>
    <row r="11" customHeight="1" spans="1:13">
      <c r="A11" s="164"/>
      <c r="B11" s="164"/>
      <c r="C11" s="238" t="s">
        <v>38</v>
      </c>
      <c r="D11" s="75"/>
      <c r="E11" s="239"/>
      <c r="F11" s="78">
        <v>110</v>
      </c>
      <c r="G11" s="79">
        <f t="shared" si="0"/>
        <v>51177.09</v>
      </c>
      <c r="H11" s="79"/>
      <c r="I11" s="77"/>
      <c r="J11" s="77"/>
      <c r="K11" s="77"/>
      <c r="L11" s="77"/>
      <c r="M11" s="77"/>
    </row>
    <row r="12" customHeight="1" spans="1:13">
      <c r="A12" s="164"/>
      <c r="B12" s="164"/>
      <c r="C12" s="238" t="s">
        <v>110</v>
      </c>
      <c r="D12" s="75"/>
      <c r="E12" s="239"/>
      <c r="F12" s="78">
        <v>2000</v>
      </c>
      <c r="G12" s="79">
        <f t="shared" si="0"/>
        <v>49177.09</v>
      </c>
      <c r="H12" s="79"/>
      <c r="I12" s="77"/>
      <c r="J12" s="77"/>
      <c r="K12" s="77"/>
      <c r="L12" s="77"/>
      <c r="M12" s="77"/>
    </row>
    <row r="13" customHeight="1" spans="1:13">
      <c r="A13" s="214"/>
      <c r="C13" s="238" t="s">
        <v>111</v>
      </c>
      <c r="D13" s="75"/>
      <c r="E13" s="239"/>
      <c r="F13" s="78">
        <v>30</v>
      </c>
      <c r="G13" s="79">
        <f t="shared" si="0"/>
        <v>49147.09</v>
      </c>
      <c r="H13" s="79"/>
      <c r="I13" s="77"/>
      <c r="J13" s="77"/>
      <c r="K13" s="77"/>
      <c r="L13" s="77"/>
      <c r="M13" s="77"/>
    </row>
    <row r="14" customHeight="1" spans="1:13">
      <c r="A14" s="164"/>
      <c r="B14" s="164"/>
      <c r="C14" s="238" t="s">
        <v>112</v>
      </c>
      <c r="D14" s="75"/>
      <c r="E14" s="239"/>
      <c r="F14" s="78">
        <v>84</v>
      </c>
      <c r="G14" s="79">
        <f t="shared" si="0"/>
        <v>49063.09</v>
      </c>
      <c r="H14" s="79"/>
      <c r="I14" s="77"/>
      <c r="J14" s="77"/>
      <c r="K14" s="77"/>
      <c r="L14" s="77"/>
      <c r="M14" s="77"/>
    </row>
    <row r="15" customHeight="1" spans="1:7">
      <c r="A15" s="164"/>
      <c r="B15" s="164"/>
      <c r="C15" s="238" t="s">
        <v>113</v>
      </c>
      <c r="D15" s="75"/>
      <c r="E15" s="239"/>
      <c r="F15" s="78">
        <v>20</v>
      </c>
      <c r="G15" s="79">
        <f t="shared" si="0"/>
        <v>49043.09</v>
      </c>
    </row>
    <row r="16" customHeight="1" spans="1:13">
      <c r="A16" s="164"/>
      <c r="B16" s="164"/>
      <c r="C16" s="248" t="s">
        <v>83</v>
      </c>
      <c r="D16" s="75"/>
      <c r="E16" s="239"/>
      <c r="F16" s="78">
        <v>60</v>
      </c>
      <c r="G16" s="79">
        <f t="shared" si="0"/>
        <v>48983.09</v>
      </c>
      <c r="H16" s="79">
        <f>I16+J16+K16+L16+M16</f>
        <v>48983.09</v>
      </c>
      <c r="I16" s="77">
        <v>0</v>
      </c>
      <c r="J16" s="77">
        <v>1419.09</v>
      </c>
      <c r="K16" s="77">
        <v>0</v>
      </c>
      <c r="L16" s="62">
        <v>44720</v>
      </c>
      <c r="M16" s="77">
        <f>2500+300+40+4</f>
        <v>2844</v>
      </c>
    </row>
    <row r="17" customHeight="1" spans="1:13">
      <c r="A17" s="240" t="s">
        <v>114</v>
      </c>
      <c r="B17" s="240"/>
      <c r="C17" s="241" t="s">
        <v>81</v>
      </c>
      <c r="D17" s="82"/>
      <c r="E17" s="242"/>
      <c r="F17" s="84">
        <v>2500</v>
      </c>
      <c r="G17" s="85">
        <f t="shared" si="0"/>
        <v>46483.09</v>
      </c>
      <c r="H17" s="28"/>
      <c r="I17" s="28"/>
      <c r="J17" s="28"/>
      <c r="K17" s="28"/>
      <c r="L17" s="28"/>
      <c r="M17" s="28"/>
    </row>
    <row r="18" customHeight="1" spans="1:7">
      <c r="A18" s="164"/>
      <c r="B18" s="164"/>
      <c r="C18" s="238" t="s">
        <v>81</v>
      </c>
      <c r="D18" s="75"/>
      <c r="E18" s="239"/>
      <c r="F18" s="78">
        <v>100</v>
      </c>
      <c r="G18" s="79">
        <f t="shared" si="0"/>
        <v>46383.09</v>
      </c>
    </row>
    <row r="19" customHeight="1" spans="1:13">
      <c r="A19" s="164"/>
      <c r="B19" s="164"/>
      <c r="C19" s="238" t="s">
        <v>17</v>
      </c>
      <c r="D19" s="75"/>
      <c r="E19" s="239"/>
      <c r="F19" s="78">
        <v>120</v>
      </c>
      <c r="G19" s="79">
        <f t="shared" si="0"/>
        <v>46263.09</v>
      </c>
      <c r="H19" s="79"/>
      <c r="I19" s="77"/>
      <c r="J19" s="77"/>
      <c r="K19" s="77"/>
      <c r="L19" s="77"/>
      <c r="M19" s="77"/>
    </row>
    <row r="20" customHeight="1" spans="1:13">
      <c r="A20" s="164"/>
      <c r="B20" s="164"/>
      <c r="C20" s="238" t="s">
        <v>115</v>
      </c>
      <c r="D20" s="75"/>
      <c r="E20" s="239"/>
      <c r="F20" s="78">
        <v>360</v>
      </c>
      <c r="G20" s="79">
        <f t="shared" si="0"/>
        <v>45903.09</v>
      </c>
      <c r="H20" s="79"/>
      <c r="I20" s="77"/>
      <c r="J20" s="77"/>
      <c r="K20" s="77"/>
      <c r="L20" s="77"/>
      <c r="M20" s="77"/>
    </row>
    <row r="21" customHeight="1" spans="1:7">
      <c r="A21" s="164"/>
      <c r="B21" s="164"/>
      <c r="C21" s="238" t="s">
        <v>25</v>
      </c>
      <c r="D21" s="75"/>
      <c r="E21" s="239"/>
      <c r="F21" s="78">
        <v>19755</v>
      </c>
      <c r="G21" s="79">
        <f t="shared" si="0"/>
        <v>26148.09</v>
      </c>
    </row>
    <row r="22" customHeight="1" spans="1:7">
      <c r="A22" s="164"/>
      <c r="B22" s="164"/>
      <c r="C22" s="238" t="s">
        <v>24</v>
      </c>
      <c r="D22" s="75"/>
      <c r="E22" s="239"/>
      <c r="F22" s="78">
        <v>9000</v>
      </c>
      <c r="G22" s="79">
        <f t="shared" si="0"/>
        <v>17148.09</v>
      </c>
    </row>
    <row r="23" customHeight="1" spans="1:7">
      <c r="A23" s="164"/>
      <c r="B23" s="164"/>
      <c r="C23" s="238" t="s">
        <v>39</v>
      </c>
      <c r="D23" s="75"/>
      <c r="E23" s="239"/>
      <c r="F23" s="78">
        <v>90</v>
      </c>
      <c r="G23" s="79">
        <f t="shared" si="0"/>
        <v>17058.09</v>
      </c>
    </row>
    <row r="24" customHeight="1" spans="1:7">
      <c r="A24" s="164"/>
      <c r="B24" s="164"/>
      <c r="C24" s="238" t="s">
        <v>39</v>
      </c>
      <c r="D24" s="75"/>
      <c r="E24" s="239"/>
      <c r="F24" s="78">
        <v>40</v>
      </c>
      <c r="G24" s="79">
        <f t="shared" si="0"/>
        <v>17018.09</v>
      </c>
    </row>
    <row r="25" customHeight="1" spans="1:13">
      <c r="A25" s="164"/>
      <c r="B25" s="164"/>
      <c r="C25" s="238" t="s">
        <v>19</v>
      </c>
      <c r="D25" s="75"/>
      <c r="E25" s="239"/>
      <c r="F25" s="78">
        <v>90</v>
      </c>
      <c r="G25" s="79">
        <f t="shared" si="0"/>
        <v>16928.09</v>
      </c>
      <c r="H25" s="79"/>
      <c r="I25" s="77"/>
      <c r="J25" s="77"/>
      <c r="K25" s="77"/>
      <c r="L25" s="77"/>
      <c r="M25" s="77"/>
    </row>
    <row r="26" customHeight="1" spans="1:13">
      <c r="A26" s="164"/>
      <c r="B26" s="164"/>
      <c r="C26" s="238" t="s">
        <v>37</v>
      </c>
      <c r="D26" s="75"/>
      <c r="E26" s="239"/>
      <c r="F26" s="78">
        <v>230</v>
      </c>
      <c r="G26" s="79">
        <f t="shared" si="0"/>
        <v>16698.09</v>
      </c>
      <c r="H26" s="79"/>
      <c r="I26" s="77"/>
      <c r="J26" s="77"/>
      <c r="K26" s="77"/>
      <c r="L26" s="77"/>
      <c r="M26" s="77"/>
    </row>
    <row r="27" customHeight="1" spans="1:13">
      <c r="A27" s="164"/>
      <c r="B27" s="164"/>
      <c r="C27" s="238" t="s">
        <v>116</v>
      </c>
      <c r="D27" s="75"/>
      <c r="E27" s="239"/>
      <c r="F27" s="78">
        <v>714.85</v>
      </c>
      <c r="G27" s="79">
        <f t="shared" si="0"/>
        <v>15983.24</v>
      </c>
      <c r="H27" s="79"/>
      <c r="I27" s="77"/>
      <c r="J27" s="77"/>
      <c r="K27" s="77"/>
      <c r="L27" s="77"/>
      <c r="M27" s="77"/>
    </row>
    <row r="28" customHeight="1" spans="1:13">
      <c r="A28" s="164" t="s">
        <v>117</v>
      </c>
      <c r="B28" s="164"/>
      <c r="C28" s="238" t="s">
        <v>39</v>
      </c>
      <c r="D28" s="75"/>
      <c r="E28" s="239"/>
      <c r="F28" s="78">
        <v>176</v>
      </c>
      <c r="G28" s="79">
        <f t="shared" si="0"/>
        <v>15807.24</v>
      </c>
      <c r="H28" s="79"/>
      <c r="I28" s="77"/>
      <c r="J28" s="77"/>
      <c r="K28" s="77"/>
      <c r="M28" s="77"/>
    </row>
    <row r="29" customHeight="1" spans="1:13">
      <c r="A29" s="164"/>
      <c r="B29" s="164"/>
      <c r="C29" s="238" t="s">
        <v>118</v>
      </c>
      <c r="D29" s="75"/>
      <c r="E29" s="239"/>
      <c r="F29" s="78">
        <v>452.66</v>
      </c>
      <c r="G29" s="79">
        <f t="shared" si="0"/>
        <v>15354.58</v>
      </c>
      <c r="H29" s="79">
        <f>I29+J29+K29+L29+M29</f>
        <v>15334.58</v>
      </c>
      <c r="I29" s="77">
        <v>0</v>
      </c>
      <c r="J29" s="77">
        <v>1419.09</v>
      </c>
      <c r="K29" s="77">
        <v>0</v>
      </c>
      <c r="L29" s="62">
        <v>13691.49</v>
      </c>
      <c r="M29" s="77">
        <f>220+4</f>
        <v>224</v>
      </c>
    </row>
    <row r="30" customHeight="1" spans="1:13">
      <c r="A30" s="164" t="s">
        <v>119</v>
      </c>
      <c r="B30" s="164"/>
      <c r="C30" s="238" t="s">
        <v>39</v>
      </c>
      <c r="D30" s="75"/>
      <c r="E30" s="239"/>
      <c r="F30" s="78">
        <v>67</v>
      </c>
      <c r="G30" s="79">
        <f t="shared" si="0"/>
        <v>15287.58</v>
      </c>
      <c r="H30" s="79"/>
      <c r="I30" s="77"/>
      <c r="J30" s="77"/>
      <c r="K30" s="77"/>
      <c r="L30" s="77"/>
      <c r="M30" s="77"/>
    </row>
    <row r="31" customHeight="1" spans="1:7">
      <c r="A31" s="164"/>
      <c r="B31" s="164"/>
      <c r="C31" s="238" t="s">
        <v>39</v>
      </c>
      <c r="D31" s="75"/>
      <c r="E31" s="239"/>
      <c r="F31" s="78">
        <v>245</v>
      </c>
      <c r="G31" s="79">
        <f t="shared" si="0"/>
        <v>15042.58</v>
      </c>
    </row>
    <row r="32" customHeight="1" spans="3:13">
      <c r="C32" s="238" t="s">
        <v>120</v>
      </c>
      <c r="D32" s="75"/>
      <c r="E32" s="239"/>
      <c r="F32" s="78">
        <v>248.6</v>
      </c>
      <c r="G32" s="79">
        <f t="shared" si="0"/>
        <v>14793.98</v>
      </c>
      <c r="H32" s="79"/>
      <c r="I32" s="77"/>
      <c r="J32" s="77"/>
      <c r="K32" s="77"/>
      <c r="L32" s="77"/>
      <c r="M32" s="77"/>
    </row>
    <row r="33" customHeight="1" spans="1:13">
      <c r="A33" s="214"/>
      <c r="C33" s="238" t="s">
        <v>39</v>
      </c>
      <c r="D33" s="75"/>
      <c r="E33" s="239"/>
      <c r="F33" s="78">
        <v>364</v>
      </c>
      <c r="G33" s="79">
        <f t="shared" si="0"/>
        <v>14429.98</v>
      </c>
      <c r="H33" s="79"/>
      <c r="I33" s="77"/>
      <c r="J33" s="77"/>
      <c r="K33" s="77"/>
      <c r="L33" s="77"/>
      <c r="M33" s="77"/>
    </row>
    <row r="34" customHeight="1" spans="3:7">
      <c r="C34" s="238" t="s">
        <v>38</v>
      </c>
      <c r="D34" s="75"/>
      <c r="E34" s="239"/>
      <c r="F34" s="78">
        <v>200</v>
      </c>
      <c r="G34" s="79">
        <f t="shared" si="0"/>
        <v>14229.98</v>
      </c>
    </row>
    <row r="35" customHeight="1" spans="3:7">
      <c r="C35" s="238" t="s">
        <v>110</v>
      </c>
      <c r="D35" s="75"/>
      <c r="E35" s="239"/>
      <c r="F35" s="78">
        <v>2500</v>
      </c>
      <c r="G35" s="79">
        <f t="shared" si="0"/>
        <v>11729.98</v>
      </c>
    </row>
    <row r="36" customHeight="1" spans="3:7">
      <c r="C36" s="238" t="s">
        <v>121</v>
      </c>
      <c r="D36" s="75"/>
      <c r="E36" s="239"/>
      <c r="F36" s="78">
        <v>775</v>
      </c>
      <c r="G36" s="79">
        <f t="shared" si="0"/>
        <v>10954.98</v>
      </c>
    </row>
    <row r="37" customHeight="1" spans="3:7">
      <c r="C37" s="238" t="s">
        <v>122</v>
      </c>
      <c r="D37" s="75"/>
      <c r="E37" s="239"/>
      <c r="F37" s="78">
        <v>505</v>
      </c>
      <c r="G37" s="79">
        <f t="shared" si="0"/>
        <v>10449.98</v>
      </c>
    </row>
    <row r="38" customHeight="1" spans="3:7">
      <c r="C38" s="238" t="s">
        <v>19</v>
      </c>
      <c r="D38" s="75"/>
      <c r="E38" s="239"/>
      <c r="F38" s="78">
        <v>45</v>
      </c>
      <c r="G38" s="79">
        <f t="shared" si="0"/>
        <v>10404.98</v>
      </c>
    </row>
    <row r="39" customHeight="1" spans="3:7">
      <c r="C39" s="238" t="s">
        <v>39</v>
      </c>
      <c r="D39" s="75"/>
      <c r="E39" s="239"/>
      <c r="F39" s="78">
        <f>82+30+22</f>
        <v>134</v>
      </c>
      <c r="G39" s="79">
        <f t="shared" si="0"/>
        <v>10270.98</v>
      </c>
    </row>
    <row r="40" customHeight="1" spans="1:7">
      <c r="A40" s="214">
        <v>45454</v>
      </c>
      <c r="C40" s="238" t="s">
        <v>123</v>
      </c>
      <c r="D40" s="75"/>
      <c r="E40" s="239"/>
      <c r="F40" s="78">
        <v>268</v>
      </c>
      <c r="G40" s="79">
        <f t="shared" si="0"/>
        <v>10002.98</v>
      </c>
    </row>
    <row r="41" customHeight="1" spans="1:8">
      <c r="A41" s="214"/>
      <c r="C41" s="238" t="s">
        <v>124</v>
      </c>
      <c r="D41" s="75"/>
      <c r="E41" s="239"/>
      <c r="F41" s="78">
        <v>1079</v>
      </c>
      <c r="G41" s="79">
        <f t="shared" si="0"/>
        <v>8923.98</v>
      </c>
      <c r="H41" s="79"/>
    </row>
    <row r="42" customHeight="1" spans="3:7">
      <c r="C42" s="238" t="s">
        <v>125</v>
      </c>
      <c r="D42" s="75"/>
      <c r="E42" s="239"/>
      <c r="F42" s="78">
        <v>305</v>
      </c>
      <c r="G42" s="79">
        <f t="shared" si="0"/>
        <v>8618.98</v>
      </c>
    </row>
    <row r="43" customHeight="1" spans="3:7">
      <c r="C43" s="238" t="s">
        <v>126</v>
      </c>
      <c r="D43" s="75"/>
      <c r="E43" s="239"/>
      <c r="F43" s="78">
        <v>10</v>
      </c>
      <c r="G43" s="79">
        <f t="shared" si="0"/>
        <v>8608.98</v>
      </c>
    </row>
    <row r="44" customHeight="1" spans="3:13">
      <c r="C44" s="249" t="s">
        <v>127</v>
      </c>
      <c r="D44" s="75"/>
      <c r="E44" s="239"/>
      <c r="F44" s="78">
        <v>70</v>
      </c>
      <c r="G44" s="79">
        <f t="shared" si="0"/>
        <v>8538.98</v>
      </c>
      <c r="H44" s="79">
        <f>I44+J44+K44+L44+M44</f>
        <v>8538.98</v>
      </c>
      <c r="I44" s="77">
        <v>0</v>
      </c>
      <c r="J44" s="77">
        <v>1419.09</v>
      </c>
      <c r="K44" s="77">
        <v>0</v>
      </c>
      <c r="L44" s="62">
        <v>6955.89</v>
      </c>
      <c r="M44" s="77">
        <f>164</f>
        <v>164</v>
      </c>
    </row>
    <row r="45" customHeight="1" spans="3:7">
      <c r="C45" s="238"/>
      <c r="D45" s="75"/>
      <c r="E45" s="239"/>
      <c r="F45" s="78">
        <v>60</v>
      </c>
      <c r="G45" s="79">
        <f t="shared" si="0"/>
        <v>8478.98</v>
      </c>
    </row>
    <row r="46" customHeight="1" spans="3:7">
      <c r="C46" s="238" t="s">
        <v>128</v>
      </c>
      <c r="D46" s="75"/>
      <c r="E46" s="239"/>
      <c r="F46" s="78">
        <v>23</v>
      </c>
      <c r="G46" s="79">
        <f t="shared" si="0"/>
        <v>8455.98</v>
      </c>
    </row>
    <row r="47" customHeight="1" spans="3:13">
      <c r="C47" s="238" t="s">
        <v>116</v>
      </c>
      <c r="D47" s="75"/>
      <c r="E47" s="239"/>
      <c r="F47" s="78">
        <v>52</v>
      </c>
      <c r="G47" s="79">
        <f t="shared" si="0"/>
        <v>8403.98</v>
      </c>
      <c r="H47" s="79"/>
      <c r="I47" s="77"/>
      <c r="J47" s="77"/>
      <c r="K47" s="77"/>
      <c r="M47" s="77"/>
    </row>
    <row r="48" customHeight="1" spans="3:7">
      <c r="C48" s="238" t="s">
        <v>129</v>
      </c>
      <c r="D48" s="75"/>
      <c r="E48" s="239"/>
      <c r="F48" s="78">
        <v>375</v>
      </c>
      <c r="G48" s="79">
        <f t="shared" si="0"/>
        <v>8028.98</v>
      </c>
    </row>
    <row r="49" customHeight="1" spans="3:7">
      <c r="C49" s="238" t="s">
        <v>116</v>
      </c>
      <c r="D49" s="75"/>
      <c r="E49" s="239"/>
      <c r="F49" s="78">
        <v>447.03</v>
      </c>
      <c r="G49" s="79">
        <f t="shared" si="0"/>
        <v>7581.95</v>
      </c>
    </row>
    <row r="50" customHeight="1" spans="3:13">
      <c r="C50" s="238" t="s">
        <v>130</v>
      </c>
      <c r="D50" s="75"/>
      <c r="E50" s="239"/>
      <c r="F50" s="78">
        <v>399</v>
      </c>
      <c r="G50" s="79">
        <f t="shared" si="0"/>
        <v>7182.95</v>
      </c>
      <c r="H50" s="79"/>
      <c r="I50" s="77"/>
      <c r="J50" s="77"/>
      <c r="K50" s="77"/>
      <c r="L50" s="77"/>
      <c r="M50" s="77"/>
    </row>
    <row r="51" customHeight="1" spans="3:7">
      <c r="C51" s="238" t="s">
        <v>39</v>
      </c>
      <c r="D51" s="75"/>
      <c r="E51" s="239"/>
      <c r="F51" s="78">
        <v>41</v>
      </c>
      <c r="G51" s="79">
        <f t="shared" si="0"/>
        <v>7141.95</v>
      </c>
    </row>
    <row r="52" customHeight="1" spans="3:7">
      <c r="C52" s="238" t="s">
        <v>39</v>
      </c>
      <c r="D52" s="75"/>
      <c r="E52" s="239"/>
      <c r="F52" s="78">
        <v>30</v>
      </c>
      <c r="G52" s="79">
        <f t="shared" si="0"/>
        <v>7111.95</v>
      </c>
    </row>
    <row r="53" customHeight="1" spans="3:7">
      <c r="C53" s="238" t="s">
        <v>39</v>
      </c>
      <c r="D53" s="75"/>
      <c r="E53" s="239"/>
      <c r="F53" s="78">
        <v>50</v>
      </c>
      <c r="G53" s="79">
        <f t="shared" si="0"/>
        <v>7061.95</v>
      </c>
    </row>
    <row r="54" customHeight="1" spans="3:7">
      <c r="C54" s="238" t="s">
        <v>130</v>
      </c>
      <c r="D54" s="75"/>
      <c r="E54" s="239"/>
      <c r="F54" s="78">
        <v>206.64</v>
      </c>
      <c r="G54" s="79">
        <f t="shared" si="0"/>
        <v>6855.31</v>
      </c>
    </row>
    <row r="55" customHeight="1" spans="3:7">
      <c r="C55" s="238" t="s">
        <v>131</v>
      </c>
      <c r="D55" s="75"/>
      <c r="E55" s="239"/>
      <c r="F55" s="78">
        <v>462</v>
      </c>
      <c r="G55" s="79">
        <f t="shared" si="0"/>
        <v>6393.31</v>
      </c>
    </row>
    <row r="56" customHeight="1" spans="3:7">
      <c r="C56" s="238" t="s">
        <v>39</v>
      </c>
      <c r="D56" s="75"/>
      <c r="E56" s="239"/>
      <c r="F56" s="78">
        <v>40</v>
      </c>
      <c r="G56" s="79">
        <f t="shared" si="0"/>
        <v>6353.31</v>
      </c>
    </row>
    <row r="57" customHeight="1" spans="1:13">
      <c r="A57" s="214">
        <v>45546</v>
      </c>
      <c r="C57" s="238" t="s">
        <v>65</v>
      </c>
      <c r="D57" s="75"/>
      <c r="E57" s="239"/>
      <c r="F57" s="78">
        <v>64</v>
      </c>
      <c r="G57" s="79">
        <f t="shared" si="0"/>
        <v>6289.31</v>
      </c>
      <c r="H57" s="79">
        <f>I57+J57+K57+L57+M57</f>
        <v>6289.31</v>
      </c>
      <c r="I57" s="77">
        <v>0</v>
      </c>
      <c r="J57" s="77">
        <v>1419.09</v>
      </c>
      <c r="K57" s="77">
        <v>0</v>
      </c>
      <c r="L57" s="62">
        <v>4810.22</v>
      </c>
      <c r="M57" s="77">
        <f>50+10</f>
        <v>60</v>
      </c>
    </row>
    <row r="58" customHeight="1" spans="1:13">
      <c r="A58" s="28"/>
      <c r="B58" s="28"/>
      <c r="C58" s="241" t="s">
        <v>132</v>
      </c>
      <c r="D58" s="82"/>
      <c r="E58" s="242"/>
      <c r="F58" s="84">
        <v>250</v>
      </c>
      <c r="G58" s="85">
        <f t="shared" si="0"/>
        <v>6039.31</v>
      </c>
      <c r="H58" s="28"/>
      <c r="I58" s="28"/>
      <c r="J58" s="28"/>
      <c r="K58" s="28"/>
      <c r="L58" s="28"/>
      <c r="M58" s="28"/>
    </row>
    <row r="59" customHeight="1" spans="1:13">
      <c r="A59" s="62"/>
      <c r="C59" s="238" t="s">
        <v>133</v>
      </c>
      <c r="D59" s="75"/>
      <c r="E59" s="239"/>
      <c r="F59" s="78">
        <v>331.5</v>
      </c>
      <c r="G59" s="79">
        <f t="shared" si="0"/>
        <v>5707.81</v>
      </c>
      <c r="H59" s="79"/>
      <c r="I59" s="77"/>
      <c r="J59" s="77"/>
      <c r="K59" s="77"/>
      <c r="L59" s="77"/>
      <c r="M59" s="77"/>
    </row>
    <row r="60" customHeight="1" spans="3:7">
      <c r="C60" s="238" t="s">
        <v>44</v>
      </c>
      <c r="D60" s="75"/>
      <c r="E60" s="239"/>
      <c r="F60" s="78">
        <v>30</v>
      </c>
      <c r="G60" s="79">
        <f t="shared" si="0"/>
        <v>5677.81</v>
      </c>
    </row>
    <row r="61" customHeight="1" spans="3:7">
      <c r="C61" s="238" t="s">
        <v>104</v>
      </c>
      <c r="D61" s="75"/>
      <c r="E61" s="239"/>
      <c r="F61" s="78">
        <v>279</v>
      </c>
      <c r="G61" s="79">
        <f t="shared" si="0"/>
        <v>5398.81</v>
      </c>
    </row>
    <row r="62" customHeight="1" spans="3:13">
      <c r="C62" s="238" t="s">
        <v>38</v>
      </c>
      <c r="D62" s="75"/>
      <c r="E62" s="239"/>
      <c r="F62" s="78">
        <v>200</v>
      </c>
      <c r="G62" s="79">
        <f t="shared" si="0"/>
        <v>5198.81</v>
      </c>
      <c r="H62" s="79"/>
      <c r="I62" s="77"/>
      <c r="J62" s="77"/>
      <c r="K62" s="77"/>
      <c r="M62" s="77"/>
    </row>
    <row r="63" customHeight="1" spans="3:7">
      <c r="C63" s="238" t="s">
        <v>22</v>
      </c>
      <c r="D63" s="75"/>
      <c r="E63" s="239"/>
      <c r="F63" s="78">
        <v>140</v>
      </c>
      <c r="G63" s="79">
        <f t="shared" si="0"/>
        <v>5058.81</v>
      </c>
    </row>
    <row r="64" customHeight="1" spans="3:7">
      <c r="C64" s="238" t="s">
        <v>19</v>
      </c>
      <c r="D64" s="75"/>
      <c r="E64" s="239"/>
      <c r="F64" s="78">
        <v>45</v>
      </c>
      <c r="G64" s="79">
        <f t="shared" si="0"/>
        <v>5013.81</v>
      </c>
    </row>
    <row r="65" customHeight="1" spans="3:7">
      <c r="C65" s="238" t="s">
        <v>39</v>
      </c>
      <c r="D65" s="75"/>
      <c r="E65" s="239"/>
      <c r="F65" s="78">
        <v>24</v>
      </c>
      <c r="G65" s="79">
        <f t="shared" si="0"/>
        <v>4989.81</v>
      </c>
    </row>
    <row r="66" customHeight="1" spans="3:7">
      <c r="C66" s="238" t="s">
        <v>44</v>
      </c>
      <c r="D66" s="75"/>
      <c r="E66" s="239"/>
      <c r="F66" s="78">
        <v>30</v>
      </c>
      <c r="G66" s="79">
        <f t="shared" si="0"/>
        <v>4959.81</v>
      </c>
    </row>
    <row r="67" customHeight="1" spans="3:7">
      <c r="C67" s="238" t="s">
        <v>131</v>
      </c>
      <c r="D67" s="75"/>
      <c r="E67" s="239"/>
      <c r="F67" s="78">
        <v>787.5</v>
      </c>
      <c r="G67" s="79">
        <f t="shared" si="0"/>
        <v>4172.31</v>
      </c>
    </row>
    <row r="68" customHeight="1" spans="1:13">
      <c r="A68" s="62" t="s">
        <v>134</v>
      </c>
      <c r="C68" s="238" t="s">
        <v>131</v>
      </c>
      <c r="D68" s="75"/>
      <c r="E68" s="239"/>
      <c r="F68" s="78">
        <v>609</v>
      </c>
      <c r="G68" s="79">
        <f t="shared" si="0"/>
        <v>3563.31</v>
      </c>
      <c r="H68" s="79">
        <f>I68+J68+K68+L68+M68</f>
        <v>3563.31</v>
      </c>
      <c r="I68" s="77">
        <v>0</v>
      </c>
      <c r="J68" s="77">
        <v>1419.09</v>
      </c>
      <c r="K68" s="77">
        <v>0</v>
      </c>
      <c r="L68" s="62">
        <v>2034.22</v>
      </c>
      <c r="M68" s="77">
        <f>110</f>
        <v>110</v>
      </c>
    </row>
    <row r="69" customHeight="1" spans="1:13">
      <c r="A69" s="28"/>
      <c r="B69" s="28"/>
      <c r="C69" s="241" t="s">
        <v>58</v>
      </c>
      <c r="D69" s="82"/>
      <c r="E69" s="242"/>
      <c r="F69" s="84">
        <v>75</v>
      </c>
      <c r="G69" s="85">
        <f t="shared" si="0"/>
        <v>3488.31</v>
      </c>
      <c r="H69" s="85"/>
      <c r="I69" s="86"/>
      <c r="J69" s="86"/>
      <c r="K69" s="86"/>
      <c r="L69" s="28"/>
      <c r="M69" s="86"/>
    </row>
    <row r="70" customHeight="1" spans="3:7">
      <c r="C70" s="238" t="s">
        <v>39</v>
      </c>
      <c r="D70" s="75"/>
      <c r="E70" s="239"/>
      <c r="F70" s="78">
        <v>42</v>
      </c>
      <c r="G70" s="79">
        <f t="shared" si="0"/>
        <v>3446.31</v>
      </c>
    </row>
    <row r="71" customHeight="1" spans="3:7">
      <c r="C71" s="238" t="s">
        <v>135</v>
      </c>
      <c r="D71" s="75"/>
      <c r="E71" s="239"/>
      <c r="F71" s="78">
        <v>15</v>
      </c>
      <c r="G71" s="79">
        <f t="shared" si="0"/>
        <v>3431.31</v>
      </c>
    </row>
    <row r="72" customHeight="1" spans="3:7">
      <c r="C72" s="238" t="s">
        <v>136</v>
      </c>
      <c r="D72" s="75"/>
      <c r="E72" s="239"/>
      <c r="F72" s="78">
        <v>5</v>
      </c>
      <c r="G72" s="79">
        <f t="shared" si="0"/>
        <v>3426.31</v>
      </c>
    </row>
    <row r="73" customHeight="1" spans="3:7">
      <c r="C73" s="238" t="s">
        <v>132</v>
      </c>
      <c r="D73" s="75"/>
      <c r="E73" s="239"/>
      <c r="F73" s="78">
        <v>20</v>
      </c>
      <c r="G73" s="79">
        <f t="shared" si="0"/>
        <v>3406.31</v>
      </c>
    </row>
    <row r="74" customHeight="1" spans="1:13">
      <c r="A74" s="62" t="s">
        <v>137</v>
      </c>
      <c r="C74" s="238" t="s">
        <v>138</v>
      </c>
      <c r="D74" s="75"/>
      <c r="E74" s="239"/>
      <c r="F74" s="78">
        <v>195</v>
      </c>
      <c r="G74" s="79">
        <f t="shared" si="0"/>
        <v>3211.31</v>
      </c>
      <c r="H74" s="79">
        <f>I74+J74+K74+L74+M74</f>
        <v>3211.31</v>
      </c>
      <c r="I74" s="77">
        <v>0</v>
      </c>
      <c r="J74" s="77">
        <v>1419.09</v>
      </c>
      <c r="K74" s="77">
        <v>0</v>
      </c>
      <c r="L74" s="62">
        <v>1722.22</v>
      </c>
      <c r="M74" s="77">
        <f>70</f>
        <v>70</v>
      </c>
    </row>
    <row r="75" customHeight="1" spans="3:7">
      <c r="C75" s="238" t="s">
        <v>139</v>
      </c>
      <c r="D75" s="75"/>
      <c r="E75" s="239"/>
      <c r="F75" s="78">
        <v>130</v>
      </c>
      <c r="G75" s="79">
        <f t="shared" si="0"/>
        <v>3081.31</v>
      </c>
    </row>
    <row r="76" customHeight="1" spans="3:7">
      <c r="C76" s="238"/>
      <c r="D76" s="75"/>
      <c r="E76" s="239"/>
      <c r="F76" s="78"/>
      <c r="G76" s="79">
        <f t="shared" si="0"/>
        <v>3081.31</v>
      </c>
    </row>
    <row r="77" customHeight="1" spans="1:13">
      <c r="A77" s="62" t="s">
        <v>140</v>
      </c>
      <c r="C77" s="248" t="s">
        <v>83</v>
      </c>
      <c r="D77" s="75"/>
      <c r="E77" s="239"/>
      <c r="F77" s="78">
        <v>155.9</v>
      </c>
      <c r="G77" s="79">
        <f t="shared" si="0"/>
        <v>2925.41</v>
      </c>
      <c r="H77" s="79">
        <f>I77+J77+K77+L77+M77</f>
        <v>2925.41</v>
      </c>
      <c r="I77" s="77">
        <v>0</v>
      </c>
      <c r="J77" s="77">
        <v>1419.09</v>
      </c>
      <c r="K77" s="77">
        <v>0</v>
      </c>
      <c r="L77" s="62">
        <v>436.32</v>
      </c>
      <c r="M77" s="77">
        <f>1000+70</f>
        <v>1070</v>
      </c>
    </row>
    <row r="78" customHeight="1" spans="1:13">
      <c r="A78" s="28"/>
      <c r="B78" s="28"/>
      <c r="C78" s="241" t="s">
        <v>39</v>
      </c>
      <c r="D78" s="82"/>
      <c r="E78" s="242"/>
      <c r="F78" s="84">
        <v>48</v>
      </c>
      <c r="G78" s="85">
        <f t="shared" si="0"/>
        <v>2877.41</v>
      </c>
      <c r="H78" s="85"/>
      <c r="I78" s="86"/>
      <c r="J78" s="86"/>
      <c r="K78" s="86"/>
      <c r="L78" s="28"/>
      <c r="M78" s="86"/>
    </row>
    <row r="79" customHeight="1" spans="3:7">
      <c r="C79" s="238" t="s">
        <v>39</v>
      </c>
      <c r="D79" s="75"/>
      <c r="E79" s="239"/>
      <c r="F79" s="78">
        <v>32</v>
      </c>
      <c r="G79" s="79">
        <f t="shared" si="0"/>
        <v>2845.41</v>
      </c>
    </row>
    <row r="80" customHeight="1" spans="3:7">
      <c r="C80" s="238" t="s">
        <v>141</v>
      </c>
      <c r="D80" s="75"/>
      <c r="E80" s="239"/>
      <c r="F80" s="78">
        <v>94</v>
      </c>
      <c r="G80" s="79">
        <f t="shared" si="0"/>
        <v>2751.41</v>
      </c>
    </row>
    <row r="81" customHeight="1" spans="3:7">
      <c r="C81" s="238" t="s">
        <v>135</v>
      </c>
      <c r="D81" s="75"/>
      <c r="E81" s="239"/>
      <c r="F81" s="78">
        <v>90</v>
      </c>
      <c r="G81" s="79">
        <f t="shared" si="0"/>
        <v>2661.41</v>
      </c>
    </row>
    <row r="82" customHeight="1" spans="3:7">
      <c r="C82" s="238" t="s">
        <v>39</v>
      </c>
      <c r="D82" s="75"/>
      <c r="E82" s="239"/>
      <c r="F82" s="78">
        <v>70</v>
      </c>
      <c r="G82" s="79">
        <f t="shared" si="0"/>
        <v>2591.41</v>
      </c>
    </row>
    <row r="83" customHeight="1" spans="3:13">
      <c r="C83" s="238" t="s">
        <v>39</v>
      </c>
      <c r="D83" s="75"/>
      <c r="E83" s="239"/>
      <c r="F83" s="78">
        <v>97</v>
      </c>
      <c r="G83" s="79">
        <f t="shared" si="0"/>
        <v>2494.41</v>
      </c>
      <c r="H83" s="79"/>
      <c r="I83" s="77"/>
      <c r="J83" s="77"/>
      <c r="K83" s="77"/>
      <c r="M83" s="77"/>
    </row>
    <row r="84" customHeight="1" spans="3:7">
      <c r="C84" s="238" t="s">
        <v>39</v>
      </c>
      <c r="D84" s="75"/>
      <c r="E84" s="239"/>
      <c r="F84" s="78">
        <v>210</v>
      </c>
      <c r="G84" s="79">
        <f t="shared" si="0"/>
        <v>2284.41</v>
      </c>
    </row>
    <row r="85" customHeight="1" spans="3:13">
      <c r="C85" s="238" t="s">
        <v>44</v>
      </c>
      <c r="D85" s="75"/>
      <c r="E85" s="239"/>
      <c r="F85" s="78">
        <v>20</v>
      </c>
      <c r="G85" s="79">
        <f t="shared" si="0"/>
        <v>2264.41</v>
      </c>
      <c r="H85" s="79"/>
      <c r="I85" s="77"/>
      <c r="J85" s="77"/>
      <c r="K85" s="77"/>
      <c r="L85" s="77"/>
      <c r="M85" s="77"/>
    </row>
    <row r="86" customHeight="1" spans="3:7">
      <c r="C86" s="238" t="s">
        <v>39</v>
      </c>
      <c r="D86" s="75"/>
      <c r="E86" s="239"/>
      <c r="F86" s="78">
        <v>10</v>
      </c>
      <c r="G86" s="79">
        <f t="shared" si="0"/>
        <v>2254.41</v>
      </c>
    </row>
    <row r="87" customHeight="1" spans="3:7">
      <c r="C87" s="238" t="s">
        <v>142</v>
      </c>
      <c r="D87" s="75"/>
      <c r="E87" s="239"/>
      <c r="F87" s="78">
        <v>50</v>
      </c>
      <c r="G87" s="79">
        <f t="shared" si="0"/>
        <v>2204.41</v>
      </c>
    </row>
    <row r="88" customHeight="1" spans="3:7">
      <c r="C88" s="238" t="s">
        <v>16</v>
      </c>
      <c r="D88" s="75"/>
      <c r="E88" s="239"/>
      <c r="F88" s="78">
        <v>100</v>
      </c>
      <c r="G88" s="79">
        <f t="shared" si="0"/>
        <v>2104.41</v>
      </c>
    </row>
    <row r="89" customHeight="1" spans="3:7">
      <c r="C89" s="238" t="s">
        <v>120</v>
      </c>
      <c r="D89" s="75"/>
      <c r="E89" s="239"/>
      <c r="F89" s="78">
        <v>200</v>
      </c>
      <c r="G89" s="79">
        <f t="shared" si="0"/>
        <v>1904.41</v>
      </c>
    </row>
    <row r="90" customHeight="1" spans="3:7">
      <c r="C90" s="238" t="s">
        <v>45</v>
      </c>
      <c r="D90" s="75"/>
      <c r="E90" s="239"/>
      <c r="F90" s="78">
        <v>100</v>
      </c>
      <c r="G90" s="79">
        <f t="shared" si="0"/>
        <v>1804.41</v>
      </c>
    </row>
    <row r="91" customHeight="1" spans="3:7">
      <c r="C91" s="238" t="s">
        <v>143</v>
      </c>
      <c r="D91" s="75"/>
      <c r="E91" s="239"/>
      <c r="F91" s="78">
        <v>20</v>
      </c>
      <c r="G91" s="79">
        <f t="shared" si="0"/>
        <v>1784.41</v>
      </c>
    </row>
    <row r="92" customHeight="1" spans="3:7">
      <c r="C92" s="248" t="s">
        <v>83</v>
      </c>
      <c r="D92" s="75"/>
      <c r="E92" s="239"/>
      <c r="F92" s="78">
        <v>103.9</v>
      </c>
      <c r="G92" s="79">
        <f t="shared" si="0"/>
        <v>1680.51</v>
      </c>
    </row>
    <row r="93" customHeight="1" spans="1:13">
      <c r="A93" s="62" t="s">
        <v>144</v>
      </c>
      <c r="C93" s="238" t="s">
        <v>39</v>
      </c>
      <c r="D93" s="75"/>
      <c r="E93" s="239"/>
      <c r="F93" s="78">
        <v>40</v>
      </c>
      <c r="G93" s="79">
        <f t="shared" si="0"/>
        <v>1640.51</v>
      </c>
      <c r="H93" s="79">
        <f>I93+J93+K93+L93+M93</f>
        <v>1640.51</v>
      </c>
      <c r="I93" s="77">
        <v>0</v>
      </c>
      <c r="J93" s="77">
        <v>1145.19</v>
      </c>
      <c r="K93" s="77">
        <v>0</v>
      </c>
      <c r="L93" s="62">
        <v>75.32</v>
      </c>
      <c r="M93" s="77">
        <f>420</f>
        <v>420</v>
      </c>
    </row>
    <row r="94" customHeight="1" spans="1:13">
      <c r="A94" s="28"/>
      <c r="B94" s="28"/>
      <c r="C94" s="241" t="s">
        <v>19</v>
      </c>
      <c r="D94" s="82"/>
      <c r="E94" s="242"/>
      <c r="F94" s="84">
        <v>25</v>
      </c>
      <c r="G94" s="85">
        <f t="shared" si="0"/>
        <v>1615.51</v>
      </c>
      <c r="H94" s="85"/>
      <c r="I94" s="86"/>
      <c r="J94" s="86"/>
      <c r="K94" s="86"/>
      <c r="L94" s="28"/>
      <c r="M94" s="86"/>
    </row>
    <row r="95" customHeight="1" spans="3:7">
      <c r="C95" s="238" t="s">
        <v>145</v>
      </c>
      <c r="D95" s="75"/>
      <c r="E95" s="239"/>
      <c r="F95" s="78">
        <v>100</v>
      </c>
      <c r="G95" s="79">
        <f t="shared" si="0"/>
        <v>1515.51</v>
      </c>
    </row>
    <row r="96" customHeight="1" spans="3:7">
      <c r="C96" s="238" t="s">
        <v>131</v>
      </c>
      <c r="D96" s="75"/>
      <c r="E96" s="239"/>
      <c r="F96" s="78">
        <v>562.1</v>
      </c>
      <c r="G96" s="79">
        <f t="shared" si="0"/>
        <v>953.409999999996</v>
      </c>
    </row>
    <row r="97" customHeight="1" spans="3:13">
      <c r="C97" s="238" t="s">
        <v>83</v>
      </c>
      <c r="D97" s="75"/>
      <c r="E97" s="239"/>
      <c r="F97" s="78">
        <v>118</v>
      </c>
      <c r="G97" s="79">
        <f t="shared" si="0"/>
        <v>835.409999999996</v>
      </c>
      <c r="H97" s="79">
        <f>I97+J97+K97+L97+M97</f>
        <v>835.41</v>
      </c>
      <c r="I97" s="77">
        <v>0</v>
      </c>
      <c r="J97" s="77">
        <v>0</v>
      </c>
      <c r="K97" s="77">
        <v>0</v>
      </c>
      <c r="L97" s="62">
        <v>415.41</v>
      </c>
      <c r="M97" s="77">
        <f>420</f>
        <v>420</v>
      </c>
    </row>
    <row r="98" customHeight="1" spans="3:7">
      <c r="C98" s="238" t="s">
        <v>39</v>
      </c>
      <c r="D98" s="75"/>
      <c r="E98" s="239"/>
      <c r="F98" s="78">
        <v>30</v>
      </c>
      <c r="G98" s="79">
        <f t="shared" si="0"/>
        <v>805.409999999996</v>
      </c>
    </row>
    <row r="99" customHeight="1" spans="1:13">
      <c r="A99" s="120" t="s">
        <v>146</v>
      </c>
      <c r="B99" s="28"/>
      <c r="C99" s="241" t="s">
        <v>20</v>
      </c>
      <c r="D99" s="82"/>
      <c r="E99" s="242"/>
      <c r="F99" s="84">
        <v>65</v>
      </c>
      <c r="G99" s="85">
        <f t="shared" si="0"/>
        <v>740.409999999996</v>
      </c>
      <c r="H99" s="28"/>
      <c r="I99" s="28"/>
      <c r="J99" s="28"/>
      <c r="K99" s="28"/>
      <c r="L99" s="28"/>
      <c r="M99" s="28"/>
    </row>
    <row r="100" customHeight="1" spans="3:13">
      <c r="C100" s="238" t="s">
        <v>147</v>
      </c>
      <c r="D100" s="75"/>
      <c r="E100" s="239"/>
      <c r="F100" s="78">
        <v>46.66</v>
      </c>
      <c r="G100" s="79">
        <f t="shared" si="0"/>
        <v>693.749999999996</v>
      </c>
      <c r="H100" s="79"/>
      <c r="I100" s="77"/>
      <c r="J100" s="77"/>
      <c r="K100" s="77"/>
      <c r="L100" s="77"/>
      <c r="M100" s="77"/>
    </row>
    <row r="101" customHeight="1" spans="3:7">
      <c r="C101" s="238" t="s">
        <v>22</v>
      </c>
      <c r="D101" s="75"/>
      <c r="E101" s="239"/>
      <c r="F101" s="78">
        <v>100</v>
      </c>
      <c r="G101" s="79">
        <f t="shared" si="0"/>
        <v>593.749999999996</v>
      </c>
    </row>
    <row r="102" customHeight="1" spans="3:7">
      <c r="C102" s="238" t="s">
        <v>38</v>
      </c>
      <c r="D102" s="75"/>
      <c r="E102" s="239"/>
      <c r="F102" s="78">
        <v>100</v>
      </c>
      <c r="G102" s="79">
        <f t="shared" si="0"/>
        <v>493.749999999996</v>
      </c>
    </row>
    <row r="103" customHeight="1" spans="3:13">
      <c r="C103" s="238" t="s">
        <v>39</v>
      </c>
      <c r="D103" s="75"/>
      <c r="E103" s="239"/>
      <c r="F103" s="78">
        <v>20</v>
      </c>
      <c r="G103" s="79">
        <f t="shared" si="0"/>
        <v>473.749999999996</v>
      </c>
      <c r="H103" s="79">
        <f>I103+J103+K103+L103+M103</f>
        <v>473.75</v>
      </c>
      <c r="I103" s="77">
        <v>0</v>
      </c>
      <c r="J103" s="77">
        <v>0</v>
      </c>
      <c r="K103" s="77">
        <v>0</v>
      </c>
      <c r="L103" s="62">
        <v>153.75</v>
      </c>
      <c r="M103" s="77">
        <f>320</f>
        <v>320</v>
      </c>
    </row>
    <row r="104" customHeight="1" spans="1:13">
      <c r="A104" s="120" t="s">
        <v>148</v>
      </c>
      <c r="B104" s="28"/>
      <c r="C104" s="241" t="s">
        <v>39</v>
      </c>
      <c r="D104" s="82"/>
      <c r="E104" s="242"/>
      <c r="F104" s="84">
        <v>10</v>
      </c>
      <c r="G104" s="85">
        <f t="shared" si="0"/>
        <v>463.749999999996</v>
      </c>
      <c r="H104" s="28"/>
      <c r="I104" s="28"/>
      <c r="J104" s="28"/>
      <c r="K104" s="28"/>
      <c r="L104" s="28"/>
      <c r="M104" s="28"/>
    </row>
    <row r="105" customHeight="1" spans="3:7">
      <c r="C105" s="238"/>
      <c r="D105" s="75"/>
      <c r="E105" s="239"/>
      <c r="F105" s="78"/>
      <c r="G105" s="79">
        <f t="shared" si="0"/>
        <v>463.749999999996</v>
      </c>
    </row>
    <row r="106" customHeight="1" spans="3:7">
      <c r="C106" s="238"/>
      <c r="D106" s="75"/>
      <c r="E106" s="239"/>
      <c r="F106" s="78"/>
      <c r="G106" s="79">
        <f t="shared" si="0"/>
        <v>463.749999999996</v>
      </c>
    </row>
    <row r="107" customHeight="1" spans="3:7">
      <c r="C107" s="238"/>
      <c r="D107" s="75"/>
      <c r="E107" s="239"/>
      <c r="F107" s="78"/>
      <c r="G107" s="79">
        <f t="shared" si="0"/>
        <v>463.749999999996</v>
      </c>
    </row>
    <row r="108" customHeight="1" spans="3:7">
      <c r="C108" s="238"/>
      <c r="D108" s="75"/>
      <c r="E108" s="239"/>
      <c r="F108" s="78"/>
      <c r="G108" s="79">
        <f t="shared" si="0"/>
        <v>463.749999999996</v>
      </c>
    </row>
    <row r="109" customHeight="1" spans="3:7">
      <c r="C109" s="238"/>
      <c r="D109" s="75"/>
      <c r="E109" s="239"/>
      <c r="F109" s="78"/>
      <c r="G109" s="79">
        <f t="shared" si="0"/>
        <v>463.749999999996</v>
      </c>
    </row>
    <row r="110" customHeight="1" spans="3:7">
      <c r="C110" s="238"/>
      <c r="D110" s="75"/>
      <c r="E110" s="239"/>
      <c r="F110" s="78"/>
      <c r="G110" s="79">
        <f t="shared" si="0"/>
        <v>463.749999999996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36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3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Height="1" spans="1:13">
      <c r="A3" s="164" t="s">
        <v>149</v>
      </c>
      <c r="B3" s="164"/>
      <c r="C3" s="238" t="s">
        <v>6</v>
      </c>
      <c r="D3" s="75"/>
      <c r="E3" s="239">
        <f>609.89+200</f>
        <v>809.89</v>
      </c>
      <c r="F3" s="78"/>
      <c r="G3" s="79">
        <f>E3-F3</f>
        <v>809.89</v>
      </c>
      <c r="H3" s="79"/>
      <c r="I3" s="77"/>
      <c r="J3" s="77"/>
      <c r="K3" s="77"/>
      <c r="L3" s="77"/>
      <c r="M3" s="77"/>
    </row>
    <row r="4" customHeight="1" spans="1:13">
      <c r="A4" s="164"/>
      <c r="B4" s="164"/>
      <c r="C4" s="238" t="s">
        <v>14</v>
      </c>
      <c r="D4" s="75"/>
      <c r="E4" s="239">
        <v>36955</v>
      </c>
      <c r="F4" s="78"/>
      <c r="G4" s="79">
        <f t="shared" ref="G4:G136" si="0">(E4-F4)+G3</f>
        <v>37764.89</v>
      </c>
      <c r="H4" s="79"/>
      <c r="I4" s="77"/>
      <c r="J4" s="77"/>
      <c r="K4" s="77"/>
      <c r="L4" s="77"/>
      <c r="M4" s="77"/>
    </row>
    <row r="5" customHeight="1" spans="1:13">
      <c r="A5" s="164"/>
      <c r="B5" s="164"/>
      <c r="C5" s="238" t="s">
        <v>24</v>
      </c>
      <c r="D5" s="75"/>
      <c r="E5" s="239"/>
      <c r="F5" s="78">
        <v>9000</v>
      </c>
      <c r="G5" s="79">
        <f t="shared" si="0"/>
        <v>28764.89</v>
      </c>
      <c r="H5" s="79"/>
      <c r="I5" s="77"/>
      <c r="J5" s="77"/>
      <c r="K5" s="77"/>
      <c r="L5" s="77"/>
      <c r="M5" s="77"/>
    </row>
    <row r="6" customHeight="1" spans="1:13">
      <c r="A6" s="164"/>
      <c r="B6" s="164"/>
      <c r="C6" s="238" t="s">
        <v>150</v>
      </c>
      <c r="D6" s="75"/>
      <c r="E6" s="239"/>
      <c r="F6" s="78">
        <v>6113</v>
      </c>
      <c r="G6" s="79">
        <f t="shared" si="0"/>
        <v>22651.89</v>
      </c>
      <c r="H6" s="79"/>
      <c r="I6" s="77"/>
      <c r="J6" s="77"/>
      <c r="K6" s="77"/>
      <c r="L6" s="77"/>
      <c r="M6" s="77"/>
    </row>
    <row r="7" customHeight="1" spans="1:13">
      <c r="A7" s="164"/>
      <c r="B7" s="164"/>
      <c r="C7" s="238" t="s">
        <v>59</v>
      </c>
      <c r="D7" s="75"/>
      <c r="E7" s="239"/>
      <c r="F7" s="78">
        <v>250</v>
      </c>
      <c r="G7" s="79">
        <f t="shared" si="0"/>
        <v>22401.89</v>
      </c>
      <c r="H7" s="79"/>
      <c r="I7" s="77"/>
      <c r="J7" s="77"/>
      <c r="K7" s="77"/>
      <c r="L7" s="77"/>
      <c r="M7" s="77"/>
    </row>
    <row r="8" customHeight="1" spans="1:13">
      <c r="A8" s="164" t="s">
        <v>151</v>
      </c>
      <c r="B8" s="164"/>
      <c r="C8" s="238" t="s">
        <v>39</v>
      </c>
      <c r="D8" s="75"/>
      <c r="E8" s="239"/>
      <c r="F8" s="78">
        <v>235</v>
      </c>
      <c r="G8" s="79">
        <f t="shared" si="0"/>
        <v>22166.89</v>
      </c>
      <c r="H8" s="79"/>
      <c r="I8" s="77"/>
      <c r="J8" s="77"/>
      <c r="K8" s="77"/>
      <c r="L8" s="77"/>
      <c r="M8" s="77"/>
    </row>
    <row r="9" customHeight="1" spans="1:13">
      <c r="A9" s="164"/>
      <c r="B9" s="164"/>
      <c r="C9" s="238" t="s">
        <v>39</v>
      </c>
      <c r="D9" s="75"/>
      <c r="E9" s="239"/>
      <c r="F9" s="78">
        <v>30</v>
      </c>
      <c r="G9" s="79">
        <f t="shared" si="0"/>
        <v>22136.89</v>
      </c>
      <c r="H9" s="79"/>
      <c r="I9" s="77"/>
      <c r="J9" s="77"/>
      <c r="K9" s="77"/>
      <c r="L9" s="77"/>
      <c r="M9" s="77"/>
    </row>
    <row r="10" customHeight="1" spans="1:13">
      <c r="A10" s="164"/>
      <c r="B10" s="164"/>
      <c r="C10" s="238" t="s">
        <v>39</v>
      </c>
      <c r="D10" s="75"/>
      <c r="E10" s="239"/>
      <c r="F10" s="78">
        <v>171</v>
      </c>
      <c r="G10" s="79">
        <f t="shared" si="0"/>
        <v>21965.89</v>
      </c>
      <c r="H10" s="79"/>
      <c r="I10" s="77"/>
      <c r="J10" s="77"/>
      <c r="K10" s="77"/>
      <c r="L10" s="77"/>
      <c r="M10" s="77"/>
    </row>
    <row r="11" customHeight="1" spans="1:13">
      <c r="A11" s="164" t="s">
        <v>152</v>
      </c>
      <c r="B11" s="164"/>
      <c r="C11" s="238" t="s">
        <v>39</v>
      </c>
      <c r="D11" s="75"/>
      <c r="E11" s="239"/>
      <c r="F11" s="78">
        <v>40</v>
      </c>
      <c r="G11" s="79">
        <f t="shared" si="0"/>
        <v>21925.89</v>
      </c>
      <c r="H11" s="79"/>
      <c r="I11" s="77"/>
      <c r="J11" s="77"/>
      <c r="K11" s="77"/>
      <c r="L11" s="77"/>
      <c r="M11" s="77"/>
    </row>
    <row r="12" customHeight="1" spans="1:13">
      <c r="A12" s="164"/>
      <c r="B12" s="164"/>
      <c r="C12" s="238" t="s">
        <v>45</v>
      </c>
      <c r="D12" s="75"/>
      <c r="E12" s="239"/>
      <c r="F12" s="78">
        <v>90</v>
      </c>
      <c r="G12" s="79">
        <f t="shared" si="0"/>
        <v>21835.89</v>
      </c>
      <c r="H12" s="79"/>
      <c r="I12" s="77"/>
      <c r="J12" s="77"/>
      <c r="K12" s="77"/>
      <c r="L12" s="77"/>
      <c r="M12" s="77"/>
    </row>
    <row r="13" customHeight="1" spans="1:13">
      <c r="A13" s="214"/>
      <c r="C13" s="238" t="s">
        <v>39</v>
      </c>
      <c r="D13" s="75"/>
      <c r="E13" s="239"/>
      <c r="F13" s="78">
        <v>97</v>
      </c>
      <c r="G13" s="79">
        <f t="shared" si="0"/>
        <v>21738.89</v>
      </c>
      <c r="H13" s="79"/>
      <c r="I13" s="77"/>
      <c r="J13" s="77"/>
      <c r="K13" s="77"/>
      <c r="L13" s="77"/>
      <c r="M13" s="77"/>
    </row>
    <row r="14" customHeight="1" spans="1:13">
      <c r="A14" s="164"/>
      <c r="B14" s="164"/>
      <c r="C14" s="238" t="s">
        <v>153</v>
      </c>
      <c r="D14" s="75"/>
      <c r="E14" s="239"/>
      <c r="F14" s="78">
        <v>80</v>
      </c>
      <c r="G14" s="79">
        <f t="shared" si="0"/>
        <v>21658.89</v>
      </c>
      <c r="H14" s="79"/>
      <c r="I14" s="77"/>
      <c r="J14" s="77"/>
      <c r="K14" s="77"/>
      <c r="L14" s="77"/>
      <c r="M14" s="77"/>
    </row>
    <row r="15" customHeight="1" spans="1:7">
      <c r="A15" s="164"/>
      <c r="B15" s="164"/>
      <c r="C15" s="238" t="s">
        <v>154</v>
      </c>
      <c r="D15" s="75"/>
      <c r="E15" s="239"/>
      <c r="F15" s="78">
        <f>83+30</f>
        <v>113</v>
      </c>
      <c r="G15" s="79">
        <f t="shared" si="0"/>
        <v>21545.89</v>
      </c>
    </row>
    <row r="16" customHeight="1" spans="1:13">
      <c r="A16" s="164"/>
      <c r="B16" s="164"/>
      <c r="C16" s="238" t="s">
        <v>39</v>
      </c>
      <c r="D16" s="75"/>
      <c r="E16" s="239"/>
      <c r="F16" s="78">
        <v>120</v>
      </c>
      <c r="G16" s="79">
        <f t="shared" si="0"/>
        <v>21425.89</v>
      </c>
      <c r="H16" s="79"/>
      <c r="I16" s="77"/>
      <c r="J16" s="77"/>
      <c r="K16" s="77"/>
      <c r="M16" s="77"/>
    </row>
    <row r="17" customHeight="1" spans="1:7">
      <c r="A17" s="164"/>
      <c r="B17" s="164"/>
      <c r="C17" s="238" t="s">
        <v>39</v>
      </c>
      <c r="D17" s="75"/>
      <c r="E17" s="239"/>
      <c r="F17" s="78">
        <v>591.55</v>
      </c>
      <c r="G17" s="79">
        <f t="shared" si="0"/>
        <v>20834.34</v>
      </c>
    </row>
    <row r="18" customHeight="1" spans="1:7">
      <c r="A18" s="164"/>
      <c r="B18" s="164"/>
      <c r="C18" s="238" t="s">
        <v>39</v>
      </c>
      <c r="D18" s="75"/>
      <c r="E18" s="239"/>
      <c r="F18" s="78">
        <v>80</v>
      </c>
      <c r="G18" s="79">
        <f t="shared" si="0"/>
        <v>20754.34</v>
      </c>
    </row>
    <row r="19" customHeight="1" spans="1:13">
      <c r="A19" s="164"/>
      <c r="B19" s="164"/>
      <c r="C19" s="238" t="s">
        <v>20</v>
      </c>
      <c r="D19" s="75"/>
      <c r="E19" s="239"/>
      <c r="F19" s="78">
        <v>405</v>
      </c>
      <c r="G19" s="79">
        <f t="shared" si="0"/>
        <v>20349.34</v>
      </c>
      <c r="H19" s="79"/>
      <c r="I19" s="77"/>
      <c r="J19" s="77"/>
      <c r="K19" s="77"/>
      <c r="L19" s="77"/>
      <c r="M19" s="77"/>
    </row>
    <row r="20" customHeight="1" spans="1:13">
      <c r="A20" s="164"/>
      <c r="B20" s="164"/>
      <c r="C20" s="238" t="s">
        <v>155</v>
      </c>
      <c r="D20" s="75"/>
      <c r="E20" s="239"/>
      <c r="F20" s="78">
        <v>298</v>
      </c>
      <c r="G20" s="79">
        <f t="shared" si="0"/>
        <v>20051.34</v>
      </c>
      <c r="H20" s="79"/>
      <c r="I20" s="77"/>
      <c r="J20" s="77"/>
      <c r="K20" s="77"/>
      <c r="L20" s="77"/>
      <c r="M20" s="77"/>
    </row>
    <row r="21" customHeight="1" spans="1:7">
      <c r="A21" s="164"/>
      <c r="B21" s="164"/>
      <c r="C21" s="238" t="s">
        <v>39</v>
      </c>
      <c r="D21" s="75"/>
      <c r="E21" s="239"/>
      <c r="F21" s="78">
        <v>64</v>
      </c>
      <c r="G21" s="79">
        <f t="shared" si="0"/>
        <v>19987.34</v>
      </c>
    </row>
    <row r="22" customHeight="1" spans="1:7">
      <c r="A22" s="164"/>
      <c r="B22" s="164"/>
      <c r="C22" s="238" t="s">
        <v>156</v>
      </c>
      <c r="D22" s="75"/>
      <c r="E22" s="239"/>
      <c r="F22" s="78">
        <v>987</v>
      </c>
      <c r="G22" s="79">
        <f t="shared" si="0"/>
        <v>19000.34</v>
      </c>
    </row>
    <row r="23" customHeight="1" spans="1:7">
      <c r="A23" s="164" t="s">
        <v>157</v>
      </c>
      <c r="B23" s="164"/>
      <c r="C23" s="238" t="s">
        <v>39</v>
      </c>
      <c r="D23" s="75"/>
      <c r="E23" s="239"/>
      <c r="F23" s="78">
        <v>52</v>
      </c>
      <c r="G23" s="79">
        <f t="shared" si="0"/>
        <v>18948.34</v>
      </c>
    </row>
    <row r="24" customHeight="1" spans="1:7">
      <c r="A24" s="164" t="s">
        <v>158</v>
      </c>
      <c r="B24" s="164"/>
      <c r="C24" s="238" t="s">
        <v>39</v>
      </c>
      <c r="D24" s="75"/>
      <c r="E24" s="239"/>
      <c r="F24" s="78">
        <v>126</v>
      </c>
      <c r="G24" s="79">
        <f t="shared" si="0"/>
        <v>18822.34</v>
      </c>
    </row>
    <row r="25" customHeight="1" spans="1:13">
      <c r="A25" s="164"/>
      <c r="B25" s="164"/>
      <c r="C25" s="238" t="s">
        <v>39</v>
      </c>
      <c r="D25" s="75"/>
      <c r="E25" s="239"/>
      <c r="F25" s="78">
        <v>603.5</v>
      </c>
      <c r="G25" s="79">
        <f t="shared" si="0"/>
        <v>18218.84</v>
      </c>
      <c r="H25" s="79"/>
      <c r="I25" s="77"/>
      <c r="J25" s="77"/>
      <c r="K25" s="77"/>
      <c r="L25" s="77"/>
      <c r="M25" s="77"/>
    </row>
    <row r="26" customHeight="1" spans="1:13">
      <c r="A26" s="164"/>
      <c r="B26" s="164"/>
      <c r="C26" s="238" t="s">
        <v>39</v>
      </c>
      <c r="D26" s="75"/>
      <c r="E26" s="239"/>
      <c r="F26" s="78">
        <v>60</v>
      </c>
      <c r="G26" s="79">
        <f t="shared" si="0"/>
        <v>18158.84</v>
      </c>
      <c r="H26" s="79"/>
      <c r="I26" s="77"/>
      <c r="J26" s="77"/>
      <c r="K26" s="77"/>
      <c r="L26" s="77"/>
      <c r="M26" s="77"/>
    </row>
    <row r="27" customHeight="1" spans="1:13">
      <c r="A27" s="164" t="s">
        <v>159</v>
      </c>
      <c r="B27" s="164"/>
      <c r="C27" s="238" t="s">
        <v>39</v>
      </c>
      <c r="D27" s="75"/>
      <c r="E27" s="239"/>
      <c r="F27" s="78">
        <v>175</v>
      </c>
      <c r="G27" s="79">
        <f t="shared" si="0"/>
        <v>17983.84</v>
      </c>
      <c r="H27" s="79"/>
      <c r="I27" s="77"/>
      <c r="J27" s="77"/>
      <c r="K27" s="77"/>
      <c r="L27" s="77"/>
      <c r="M27" s="77"/>
    </row>
    <row r="28" customHeight="1" spans="1:13">
      <c r="A28" s="164"/>
      <c r="B28" s="164"/>
      <c r="C28" s="238" t="s">
        <v>45</v>
      </c>
      <c r="D28" s="75"/>
      <c r="E28" s="239"/>
      <c r="F28" s="78">
        <v>90</v>
      </c>
      <c r="G28" s="79">
        <f t="shared" si="0"/>
        <v>17893.84</v>
      </c>
      <c r="H28" s="79"/>
      <c r="I28" s="77"/>
      <c r="J28" s="77"/>
      <c r="K28" s="77"/>
      <c r="M28" s="77"/>
    </row>
    <row r="29" customHeight="1" spans="1:13">
      <c r="A29" s="164"/>
      <c r="B29" s="164"/>
      <c r="C29" s="238" t="s">
        <v>160</v>
      </c>
      <c r="D29" s="75"/>
      <c r="E29" s="239">
        <v>6</v>
      </c>
      <c r="F29" s="78"/>
      <c r="G29" s="79">
        <f t="shared" si="0"/>
        <v>17899.84</v>
      </c>
      <c r="H29" s="79"/>
      <c r="I29" s="77"/>
      <c r="J29" s="77"/>
      <c r="K29" s="77"/>
      <c r="M29" s="77"/>
    </row>
    <row r="30" customHeight="1" spans="1:13">
      <c r="A30" s="164"/>
      <c r="B30" s="164"/>
      <c r="C30" s="238" t="s">
        <v>161</v>
      </c>
      <c r="D30" s="75"/>
      <c r="E30" s="239"/>
      <c r="F30" s="78">
        <v>238</v>
      </c>
      <c r="G30" s="79">
        <f t="shared" si="0"/>
        <v>17661.84</v>
      </c>
      <c r="H30" s="79"/>
      <c r="I30" s="77"/>
      <c r="J30" s="77"/>
      <c r="K30" s="77"/>
      <c r="L30" s="77"/>
      <c r="M30" s="77"/>
    </row>
    <row r="31" customHeight="1" spans="1:7">
      <c r="A31" s="164"/>
      <c r="B31" s="164"/>
      <c r="C31" s="238" t="s">
        <v>162</v>
      </c>
      <c r="D31" s="75"/>
      <c r="E31" s="239"/>
      <c r="F31" s="78">
        <v>1450</v>
      </c>
      <c r="G31" s="79">
        <f t="shared" si="0"/>
        <v>16211.84</v>
      </c>
    </row>
    <row r="32" customHeight="1" spans="3:13">
      <c r="C32" s="238" t="s">
        <v>20</v>
      </c>
      <c r="D32" s="75"/>
      <c r="E32" s="239"/>
      <c r="F32" s="78">
        <v>170</v>
      </c>
      <c r="G32" s="79">
        <f t="shared" si="0"/>
        <v>16041.84</v>
      </c>
      <c r="H32" s="79"/>
      <c r="I32" s="77"/>
      <c r="J32" s="77"/>
      <c r="K32" s="77"/>
      <c r="L32" s="77"/>
      <c r="M32" s="77"/>
    </row>
    <row r="33" customHeight="1" spans="1:13">
      <c r="A33" s="214">
        <v>45455</v>
      </c>
      <c r="C33" s="238" t="s">
        <v>39</v>
      </c>
      <c r="D33" s="75"/>
      <c r="E33" s="239"/>
      <c r="F33" s="78">
        <f>58+30+60</f>
        <v>148</v>
      </c>
      <c r="G33" s="79">
        <f t="shared" si="0"/>
        <v>15893.84</v>
      </c>
      <c r="H33" s="79"/>
      <c r="I33" s="77"/>
      <c r="J33" s="77"/>
      <c r="K33" s="77"/>
      <c r="L33" s="77"/>
      <c r="M33" s="77"/>
    </row>
    <row r="34" customHeight="1" spans="3:7">
      <c r="C34" s="238" t="s">
        <v>39</v>
      </c>
      <c r="D34" s="75"/>
      <c r="E34" s="239"/>
      <c r="F34" s="78">
        <v>61</v>
      </c>
      <c r="G34" s="79">
        <f t="shared" si="0"/>
        <v>15832.84</v>
      </c>
    </row>
    <row r="35" customHeight="1" spans="3:7">
      <c r="C35" s="238" t="s">
        <v>163</v>
      </c>
      <c r="D35" s="75"/>
      <c r="E35" s="239"/>
      <c r="F35" s="78">
        <v>240</v>
      </c>
      <c r="G35" s="79">
        <f t="shared" si="0"/>
        <v>15592.84</v>
      </c>
    </row>
    <row r="36" customHeight="1" spans="3:7">
      <c r="C36" s="238" t="s">
        <v>38</v>
      </c>
      <c r="D36" s="75"/>
      <c r="E36" s="239"/>
      <c r="F36" s="78">
        <v>200</v>
      </c>
      <c r="G36" s="79">
        <f t="shared" si="0"/>
        <v>15392.84</v>
      </c>
    </row>
    <row r="37" customHeight="1" spans="3:7">
      <c r="C37" s="238" t="s">
        <v>143</v>
      </c>
      <c r="D37" s="75"/>
      <c r="E37" s="239"/>
      <c r="F37" s="78">
        <v>15</v>
      </c>
      <c r="G37" s="79">
        <f t="shared" si="0"/>
        <v>15377.84</v>
      </c>
    </row>
    <row r="38" customHeight="1" spans="3:7">
      <c r="C38" s="238" t="s">
        <v>39</v>
      </c>
      <c r="D38" s="75"/>
      <c r="E38" s="239"/>
      <c r="F38" s="78">
        <v>48</v>
      </c>
      <c r="G38" s="79">
        <f t="shared" si="0"/>
        <v>15329.84</v>
      </c>
    </row>
    <row r="39" customHeight="1" spans="1:7">
      <c r="A39" s="214">
        <v>45485</v>
      </c>
      <c r="C39" s="238" t="s">
        <v>39</v>
      </c>
      <c r="D39" s="75"/>
      <c r="E39" s="239"/>
      <c r="F39" s="78">
        <f>62+40</f>
        <v>102</v>
      </c>
      <c r="G39" s="79">
        <f t="shared" si="0"/>
        <v>15227.84</v>
      </c>
    </row>
    <row r="40" customHeight="1" spans="1:13">
      <c r="A40" s="214"/>
      <c r="C40" s="216" t="s">
        <v>127</v>
      </c>
      <c r="D40" s="75"/>
      <c r="E40" s="239"/>
      <c r="F40" s="78">
        <v>399.05</v>
      </c>
      <c r="G40" s="79">
        <f t="shared" si="0"/>
        <v>14828.79</v>
      </c>
      <c r="H40" s="158">
        <f>I40+J40+K40+L40+M40</f>
        <v>14828.79</v>
      </c>
      <c r="I40" s="62">
        <v>1988</v>
      </c>
      <c r="J40" s="62">
        <v>1000</v>
      </c>
      <c r="K40" s="62">
        <v>0</v>
      </c>
      <c r="L40" s="62">
        <v>11045.79</v>
      </c>
      <c r="M40" s="62">
        <f>790+5</f>
        <v>795</v>
      </c>
    </row>
    <row r="41" customHeight="1" spans="1:13">
      <c r="A41" s="247"/>
      <c r="B41" s="28"/>
      <c r="C41" s="241" t="s">
        <v>16</v>
      </c>
      <c r="D41" s="82"/>
      <c r="E41" s="242"/>
      <c r="F41" s="84">
        <v>100</v>
      </c>
      <c r="G41" s="85">
        <f t="shared" si="0"/>
        <v>14728.79</v>
      </c>
      <c r="H41" s="85"/>
      <c r="I41" s="28"/>
      <c r="J41" s="28"/>
      <c r="K41" s="28"/>
      <c r="L41" s="28"/>
      <c r="M41" s="28"/>
    </row>
    <row r="42" customHeight="1" spans="3:7">
      <c r="C42" s="238" t="s">
        <v>20</v>
      </c>
      <c r="D42" s="75"/>
      <c r="E42" s="239"/>
      <c r="F42" s="78">
        <v>170</v>
      </c>
      <c r="G42" s="79">
        <f t="shared" si="0"/>
        <v>14558.79</v>
      </c>
    </row>
    <row r="43" customHeight="1" spans="3:7">
      <c r="C43" s="238" t="s">
        <v>59</v>
      </c>
      <c r="D43" s="75"/>
      <c r="E43" s="239"/>
      <c r="F43" s="78">
        <v>120</v>
      </c>
      <c r="G43" s="79">
        <f t="shared" si="0"/>
        <v>14438.79</v>
      </c>
    </row>
    <row r="44" customHeight="1" spans="3:7">
      <c r="C44" s="238"/>
      <c r="D44" s="75"/>
      <c r="E44" s="239"/>
      <c r="F44" s="78">
        <v>10</v>
      </c>
      <c r="G44" s="79">
        <f t="shared" si="0"/>
        <v>14428.79</v>
      </c>
    </row>
    <row r="45" customHeight="1" spans="3:7">
      <c r="C45" s="238" t="s">
        <v>45</v>
      </c>
      <c r="D45" s="75"/>
      <c r="E45" s="239"/>
      <c r="F45" s="78">
        <v>45</v>
      </c>
      <c r="G45" s="79">
        <f t="shared" si="0"/>
        <v>14383.79</v>
      </c>
    </row>
    <row r="46" customHeight="1" spans="3:7">
      <c r="C46" s="238" t="s">
        <v>39</v>
      </c>
      <c r="D46" s="75"/>
      <c r="E46" s="239"/>
      <c r="F46" s="78">
        <v>42</v>
      </c>
      <c r="G46" s="79">
        <f t="shared" si="0"/>
        <v>14341.79</v>
      </c>
    </row>
    <row r="47" customHeight="1" spans="3:13">
      <c r="C47" s="238" t="s">
        <v>39</v>
      </c>
      <c r="D47" s="75"/>
      <c r="E47" s="239"/>
      <c r="F47" s="78">
        <v>44</v>
      </c>
      <c r="G47" s="79">
        <f t="shared" si="0"/>
        <v>14297.79</v>
      </c>
      <c r="H47" s="79"/>
      <c r="I47" s="77"/>
      <c r="J47" s="77"/>
      <c r="K47" s="77"/>
      <c r="M47" s="77"/>
    </row>
    <row r="48" customHeight="1" spans="3:7">
      <c r="C48" s="238" t="s">
        <v>136</v>
      </c>
      <c r="D48" s="75"/>
      <c r="E48" s="239"/>
      <c r="F48" s="78">
        <v>590.1</v>
      </c>
      <c r="G48" s="79">
        <f t="shared" si="0"/>
        <v>13707.69</v>
      </c>
    </row>
    <row r="49" customHeight="1" spans="3:7">
      <c r="C49" s="238" t="s">
        <v>136</v>
      </c>
      <c r="D49" s="75"/>
      <c r="E49" s="239"/>
      <c r="F49" s="78">
        <v>580.1</v>
      </c>
      <c r="G49" s="79">
        <f t="shared" si="0"/>
        <v>13127.59</v>
      </c>
    </row>
    <row r="50" customHeight="1" spans="3:13">
      <c r="C50" s="238" t="s">
        <v>102</v>
      </c>
      <c r="D50" s="75"/>
      <c r="E50" s="239"/>
      <c r="F50" s="78">
        <v>50</v>
      </c>
      <c r="G50" s="79">
        <f t="shared" si="0"/>
        <v>13077.59</v>
      </c>
      <c r="H50" s="79"/>
      <c r="I50" s="77"/>
      <c r="J50" s="77"/>
      <c r="K50" s="77"/>
      <c r="L50" s="77"/>
      <c r="M50" s="77"/>
    </row>
    <row r="51" customHeight="1" spans="1:13">
      <c r="A51" s="244">
        <v>45577</v>
      </c>
      <c r="C51" s="238"/>
      <c r="D51" s="75"/>
      <c r="E51" s="239"/>
      <c r="F51" s="78">
        <v>10</v>
      </c>
      <c r="G51" s="79">
        <f t="shared" si="0"/>
        <v>13067.59</v>
      </c>
      <c r="H51" s="158">
        <f>I51+J51+K51+L51+M51</f>
        <v>13067.59</v>
      </c>
      <c r="I51" s="62">
        <v>1988</v>
      </c>
      <c r="J51" s="62">
        <v>1000</v>
      </c>
      <c r="K51" s="62">
        <v>0</v>
      </c>
      <c r="L51" s="62">
        <v>9404.59</v>
      </c>
      <c r="M51" s="62">
        <f>670+5</f>
        <v>675</v>
      </c>
    </row>
    <row r="52" customHeight="1" spans="1:13">
      <c r="A52" s="28"/>
      <c r="B52" s="28"/>
      <c r="C52" s="241"/>
      <c r="D52" s="82"/>
      <c r="E52" s="242"/>
      <c r="F52" s="84">
        <v>1988</v>
      </c>
      <c r="G52" s="85">
        <f t="shared" si="0"/>
        <v>11079.59</v>
      </c>
      <c r="H52" s="28"/>
      <c r="I52" s="28"/>
      <c r="J52" s="28"/>
      <c r="K52" s="28"/>
      <c r="L52" s="28"/>
      <c r="M52" s="28"/>
    </row>
    <row r="53" customHeight="1" spans="3:7">
      <c r="C53" s="238" t="s">
        <v>58</v>
      </c>
      <c r="D53" s="75"/>
      <c r="E53" s="239"/>
      <c r="F53" s="78">
        <v>115</v>
      </c>
      <c r="G53" s="79">
        <f t="shared" si="0"/>
        <v>10964.59</v>
      </c>
    </row>
    <row r="54" customHeight="1" spans="3:7">
      <c r="C54" s="238" t="s">
        <v>44</v>
      </c>
      <c r="D54" s="75"/>
      <c r="E54" s="239"/>
      <c r="F54" s="78">
        <v>278</v>
      </c>
      <c r="G54" s="79">
        <f t="shared" si="0"/>
        <v>10686.59</v>
      </c>
    </row>
    <row r="55" customHeight="1" spans="3:7">
      <c r="C55" s="238" t="s">
        <v>42</v>
      </c>
      <c r="D55" s="75"/>
      <c r="E55" s="239"/>
      <c r="F55" s="78">
        <v>265</v>
      </c>
      <c r="G55" s="79">
        <f t="shared" si="0"/>
        <v>10421.59</v>
      </c>
    </row>
    <row r="56" customHeight="1" spans="1:13">
      <c r="A56" s="244">
        <v>45638</v>
      </c>
      <c r="C56" s="238" t="s">
        <v>39</v>
      </c>
      <c r="D56" s="75"/>
      <c r="E56" s="239"/>
      <c r="F56" s="78">
        <v>208</v>
      </c>
      <c r="G56" s="79">
        <f t="shared" si="0"/>
        <v>10213.59</v>
      </c>
      <c r="H56" s="158">
        <f>I56+J56+K56+L56+M56</f>
        <v>10213.59</v>
      </c>
      <c r="J56" s="62">
        <v>1000</v>
      </c>
      <c r="K56" s="62">
        <v>0</v>
      </c>
      <c r="L56" s="62">
        <v>8538.59</v>
      </c>
      <c r="M56" s="62">
        <f>670+5</f>
        <v>675</v>
      </c>
    </row>
    <row r="57" customHeight="1" spans="1:13">
      <c r="A57" s="247"/>
      <c r="B57" s="28"/>
      <c r="C57" s="241" t="s">
        <v>59</v>
      </c>
      <c r="D57" s="82"/>
      <c r="E57" s="242"/>
      <c r="F57" s="84">
        <v>115</v>
      </c>
      <c r="G57" s="85">
        <f t="shared" si="0"/>
        <v>10098.59</v>
      </c>
      <c r="H57" s="28"/>
      <c r="I57" s="28"/>
      <c r="J57" s="28"/>
      <c r="K57" s="28"/>
      <c r="L57" s="28"/>
      <c r="M57" s="28"/>
    </row>
    <row r="58" customHeight="1" spans="3:7">
      <c r="C58" s="238" t="s">
        <v>136</v>
      </c>
      <c r="D58" s="75"/>
      <c r="E58" s="239"/>
      <c r="F58" s="78">
        <v>420</v>
      </c>
      <c r="G58" s="79">
        <f t="shared" si="0"/>
        <v>9678.59</v>
      </c>
    </row>
    <row r="59" customHeight="1" spans="3:13">
      <c r="C59" s="238" t="s">
        <v>22</v>
      </c>
      <c r="D59" s="75"/>
      <c r="E59" s="239"/>
      <c r="F59" s="78">
        <v>45</v>
      </c>
      <c r="G59" s="79">
        <f t="shared" si="0"/>
        <v>9633.59</v>
      </c>
      <c r="H59" s="79"/>
      <c r="I59" s="77"/>
      <c r="J59" s="77"/>
      <c r="K59" s="77"/>
      <c r="L59" s="77"/>
      <c r="M59" s="77"/>
    </row>
    <row r="60" customHeight="1" spans="3:7">
      <c r="C60" s="238" t="s">
        <v>38</v>
      </c>
      <c r="D60" s="75"/>
      <c r="E60" s="239"/>
      <c r="F60" s="78">
        <v>100</v>
      </c>
      <c r="G60" s="79">
        <f t="shared" si="0"/>
        <v>9533.59</v>
      </c>
    </row>
    <row r="61" customHeight="1" spans="3:7">
      <c r="C61" s="238" t="s">
        <v>38</v>
      </c>
      <c r="D61" s="75"/>
      <c r="E61" s="239"/>
      <c r="F61" s="78">
        <v>100</v>
      </c>
      <c r="G61" s="79">
        <f t="shared" si="0"/>
        <v>9433.59</v>
      </c>
    </row>
    <row r="62" customHeight="1" spans="3:13">
      <c r="C62" s="238" t="s">
        <v>164</v>
      </c>
      <c r="D62" s="75"/>
      <c r="E62" s="239"/>
      <c r="F62" s="78">
        <v>750</v>
      </c>
      <c r="G62" s="79">
        <f t="shared" si="0"/>
        <v>8683.59</v>
      </c>
      <c r="H62" s="79"/>
      <c r="I62" s="77"/>
      <c r="J62" s="77"/>
      <c r="K62" s="77"/>
      <c r="M62" s="77"/>
    </row>
    <row r="63" customHeight="1" spans="3:7">
      <c r="C63" s="238" t="s">
        <v>165</v>
      </c>
      <c r="D63" s="75"/>
      <c r="E63" s="239"/>
      <c r="F63" s="78">
        <v>472</v>
      </c>
      <c r="G63" s="79">
        <f t="shared" si="0"/>
        <v>8211.59</v>
      </c>
    </row>
    <row r="64" customHeight="1" spans="3:7">
      <c r="C64" s="238" t="s">
        <v>166</v>
      </c>
      <c r="D64" s="75"/>
      <c r="E64" s="239"/>
      <c r="F64" s="78">
        <v>1000</v>
      </c>
      <c r="G64" s="79">
        <f t="shared" si="0"/>
        <v>7211.59</v>
      </c>
    </row>
    <row r="65" customHeight="1" spans="3:7">
      <c r="C65" s="238" t="s">
        <v>16</v>
      </c>
      <c r="D65" s="75"/>
      <c r="E65" s="239"/>
      <c r="F65" s="78">
        <v>100</v>
      </c>
      <c r="G65" s="79">
        <f t="shared" si="0"/>
        <v>7111.59</v>
      </c>
    </row>
    <row r="66" customHeight="1" spans="3:7">
      <c r="C66" s="238" t="s">
        <v>135</v>
      </c>
      <c r="D66" s="75"/>
      <c r="E66" s="239"/>
      <c r="F66" s="78">
        <v>370</v>
      </c>
      <c r="G66" s="79">
        <f t="shared" si="0"/>
        <v>6741.59</v>
      </c>
    </row>
    <row r="67" customHeight="1" spans="3:7">
      <c r="C67" s="238" t="s">
        <v>143</v>
      </c>
      <c r="D67" s="75"/>
      <c r="E67" s="239"/>
      <c r="F67" s="78">
        <v>100</v>
      </c>
      <c r="G67" s="79">
        <f t="shared" si="0"/>
        <v>6641.59</v>
      </c>
    </row>
    <row r="68" customHeight="1" spans="3:13">
      <c r="C68" s="238" t="s">
        <v>127</v>
      </c>
      <c r="D68" s="75"/>
      <c r="E68" s="239"/>
      <c r="F68" s="78">
        <v>130</v>
      </c>
      <c r="G68" s="79">
        <f t="shared" si="0"/>
        <v>6511.59</v>
      </c>
      <c r="H68" s="79"/>
      <c r="I68" s="77"/>
      <c r="J68" s="77"/>
      <c r="K68" s="77"/>
      <c r="M68" s="77"/>
    </row>
    <row r="69" customHeight="1" spans="1:13">
      <c r="A69" s="62"/>
      <c r="C69" s="238" t="s">
        <v>167</v>
      </c>
      <c r="D69" s="75"/>
      <c r="E69" s="239">
        <v>580.1</v>
      </c>
      <c r="F69" s="78"/>
      <c r="G69" s="79">
        <f t="shared" si="0"/>
        <v>7091.69</v>
      </c>
      <c r="H69" s="158">
        <f>I69+J69+K69+L69+M69</f>
        <v>7091.69</v>
      </c>
      <c r="J69" s="62">
        <v>1000</v>
      </c>
      <c r="K69" s="62">
        <v>0</v>
      </c>
      <c r="L69" s="62">
        <f>5907.69+54</f>
        <v>5961.69</v>
      </c>
      <c r="M69" s="62">
        <v>130</v>
      </c>
    </row>
    <row r="70" customHeight="1" spans="1:13">
      <c r="A70" s="28"/>
      <c r="B70" s="28"/>
      <c r="C70" s="241" t="s">
        <v>39</v>
      </c>
      <c r="D70" s="82"/>
      <c r="E70" s="242"/>
      <c r="F70" s="84">
        <v>54</v>
      </c>
      <c r="G70" s="85">
        <f t="shared" si="0"/>
        <v>7037.69</v>
      </c>
      <c r="H70" s="28"/>
      <c r="I70" s="28"/>
      <c r="J70" s="28"/>
      <c r="K70" s="28"/>
      <c r="L70" s="28"/>
      <c r="M70" s="28"/>
    </row>
    <row r="71" customHeight="1" spans="3:7">
      <c r="C71" s="238" t="s">
        <v>168</v>
      </c>
      <c r="D71" s="75"/>
      <c r="E71" s="239"/>
      <c r="F71" s="78">
        <v>195</v>
      </c>
      <c r="G71" s="79">
        <f t="shared" si="0"/>
        <v>6842.69</v>
      </c>
    </row>
    <row r="72" customHeight="1" spans="3:7">
      <c r="C72" s="238" t="s">
        <v>169</v>
      </c>
      <c r="D72" s="75"/>
      <c r="E72" s="239"/>
      <c r="F72" s="78">
        <v>200</v>
      </c>
      <c r="G72" s="79">
        <f t="shared" si="0"/>
        <v>6642.69</v>
      </c>
    </row>
    <row r="73" customHeight="1" spans="3:7">
      <c r="C73" s="238" t="s">
        <v>170</v>
      </c>
      <c r="D73" s="75"/>
      <c r="E73" s="239"/>
      <c r="F73" s="78">
        <v>300</v>
      </c>
      <c r="G73" s="79">
        <f t="shared" si="0"/>
        <v>6342.69</v>
      </c>
    </row>
    <row r="74" customHeight="1" spans="3:7">
      <c r="C74" s="238" t="s">
        <v>22</v>
      </c>
      <c r="D74" s="75"/>
      <c r="E74" s="239"/>
      <c r="F74" s="78">
        <v>110</v>
      </c>
      <c r="G74" s="79">
        <f t="shared" si="0"/>
        <v>6232.69</v>
      </c>
    </row>
    <row r="75" customHeight="1" spans="3:7">
      <c r="C75" s="238" t="s">
        <v>39</v>
      </c>
      <c r="D75" s="75"/>
      <c r="E75" s="239"/>
      <c r="F75" s="78">
        <v>258.19</v>
      </c>
      <c r="G75" s="79">
        <f t="shared" si="0"/>
        <v>5974.5</v>
      </c>
    </row>
    <row r="76" customHeight="1" spans="3:7">
      <c r="C76" s="238" t="s">
        <v>171</v>
      </c>
      <c r="D76" s="75"/>
      <c r="E76" s="239"/>
      <c r="F76" s="78">
        <v>30</v>
      </c>
      <c r="G76" s="79">
        <f t="shared" si="0"/>
        <v>5944.5</v>
      </c>
    </row>
    <row r="77" customHeight="1" spans="1:13">
      <c r="A77" s="62" t="s">
        <v>172</v>
      </c>
      <c r="C77" s="238"/>
      <c r="D77" s="75"/>
      <c r="E77" s="239"/>
      <c r="F77" s="78">
        <v>5.9</v>
      </c>
      <c r="G77" s="79">
        <f t="shared" si="0"/>
        <v>5938.6</v>
      </c>
      <c r="H77" s="158">
        <f>I77+J77+K77+L77+M77</f>
        <v>5938.6</v>
      </c>
      <c r="J77" s="62">
        <v>1000</v>
      </c>
      <c r="K77" s="62">
        <v>0</v>
      </c>
      <c r="L77" s="62">
        <f>4808.6</f>
        <v>4808.6</v>
      </c>
      <c r="M77" s="62">
        <v>130</v>
      </c>
    </row>
    <row r="78" customHeight="1" spans="1:13">
      <c r="A78" s="28"/>
      <c r="B78" s="28"/>
      <c r="C78" s="241" t="s">
        <v>173</v>
      </c>
      <c r="D78" s="82"/>
      <c r="E78" s="242"/>
      <c r="F78" s="84">
        <v>249</v>
      </c>
      <c r="G78" s="85">
        <f t="shared" si="0"/>
        <v>5689.6</v>
      </c>
      <c r="H78" s="85"/>
      <c r="I78" s="86"/>
      <c r="J78" s="86"/>
      <c r="K78" s="86"/>
      <c r="L78" s="28"/>
      <c r="M78" s="86"/>
    </row>
    <row r="79" customHeight="1" spans="1:7">
      <c r="A79" s="62" t="s">
        <v>174</v>
      </c>
      <c r="C79" s="238" t="s">
        <v>136</v>
      </c>
      <c r="D79" s="75"/>
      <c r="E79" s="239"/>
      <c r="F79" s="78">
        <f>418+409+380+409</f>
        <v>1616</v>
      </c>
      <c r="G79" s="79">
        <f t="shared" si="0"/>
        <v>4073.6</v>
      </c>
    </row>
    <row r="80" customHeight="1" spans="3:7">
      <c r="C80" s="238" t="s">
        <v>62</v>
      </c>
      <c r="D80" s="75"/>
      <c r="E80" s="239"/>
      <c r="F80" s="78">
        <v>75</v>
      </c>
      <c r="G80" s="79">
        <f t="shared" si="0"/>
        <v>3998.6</v>
      </c>
    </row>
    <row r="81" customHeight="1" spans="3:7">
      <c r="C81" s="238" t="s">
        <v>102</v>
      </c>
      <c r="D81" s="75"/>
      <c r="E81" s="239"/>
      <c r="F81" s="78">
        <v>94.5</v>
      </c>
      <c r="G81" s="79">
        <f t="shared" si="0"/>
        <v>3904.1</v>
      </c>
    </row>
    <row r="82" customHeight="1" spans="3:7">
      <c r="C82" s="238" t="s">
        <v>175</v>
      </c>
      <c r="D82" s="75"/>
      <c r="E82" s="239"/>
      <c r="F82" s="78">
        <v>750</v>
      </c>
      <c r="G82" s="79">
        <f t="shared" si="0"/>
        <v>3154.1</v>
      </c>
    </row>
    <row r="83" customHeight="1" spans="3:13">
      <c r="C83" s="238" t="s">
        <v>39</v>
      </c>
      <c r="D83" s="75"/>
      <c r="E83" s="239"/>
      <c r="F83" s="78">
        <v>15</v>
      </c>
      <c r="G83" s="79">
        <f t="shared" si="0"/>
        <v>3139.1</v>
      </c>
      <c r="H83" s="79"/>
      <c r="I83" s="77"/>
      <c r="J83" s="77"/>
      <c r="K83" s="77"/>
      <c r="M83" s="77"/>
    </row>
    <row r="84" customHeight="1" spans="3:7">
      <c r="C84" s="238" t="s">
        <v>102</v>
      </c>
      <c r="D84" s="75"/>
      <c r="E84" s="239"/>
      <c r="F84" s="78">
        <v>136</v>
      </c>
      <c r="G84" s="79">
        <f t="shared" si="0"/>
        <v>3003.1</v>
      </c>
    </row>
    <row r="85" customHeight="1" spans="3:13">
      <c r="C85" s="238" t="s">
        <v>19</v>
      </c>
      <c r="D85" s="75"/>
      <c r="E85" s="239"/>
      <c r="F85" s="78">
        <v>45</v>
      </c>
      <c r="G85" s="79">
        <f t="shared" si="0"/>
        <v>2958.1</v>
      </c>
      <c r="H85" s="79"/>
      <c r="I85" s="77"/>
      <c r="J85" s="77"/>
      <c r="K85" s="77"/>
      <c r="L85" s="77"/>
      <c r="M85" s="77"/>
    </row>
    <row r="86" customHeight="1" spans="1:13">
      <c r="A86" s="62" t="s">
        <v>176</v>
      </c>
      <c r="C86" s="238" t="s">
        <v>33</v>
      </c>
      <c r="D86" s="75"/>
      <c r="E86" s="239"/>
      <c r="F86" s="78">
        <v>100</v>
      </c>
      <c r="G86" s="79">
        <f t="shared" si="0"/>
        <v>2858.1</v>
      </c>
      <c r="H86" s="158">
        <f>I86+J86+K86+L86+M86</f>
        <v>2858.1</v>
      </c>
      <c r="J86" s="62">
        <v>1000</v>
      </c>
      <c r="K86" s="62">
        <v>0</v>
      </c>
      <c r="L86" s="62">
        <f>1733.1</f>
        <v>1733.1</v>
      </c>
      <c r="M86" s="62">
        <v>125</v>
      </c>
    </row>
    <row r="87" customHeight="1" spans="1:13">
      <c r="A87" s="28"/>
      <c r="B87" s="28"/>
      <c r="C87" s="241" t="s">
        <v>44</v>
      </c>
      <c r="D87" s="82"/>
      <c r="E87" s="242"/>
      <c r="F87" s="84">
        <v>40</v>
      </c>
      <c r="G87" s="85">
        <f t="shared" si="0"/>
        <v>2818.1</v>
      </c>
      <c r="H87" s="28"/>
      <c r="I87" s="28"/>
      <c r="J87" s="28"/>
      <c r="K87" s="28"/>
      <c r="L87" s="28"/>
      <c r="M87" s="28"/>
    </row>
    <row r="88" customHeight="1" spans="3:7">
      <c r="C88" s="238" t="s">
        <v>39</v>
      </c>
      <c r="D88" s="75"/>
      <c r="E88" s="239"/>
      <c r="F88" s="78">
        <v>24</v>
      </c>
      <c r="G88" s="79">
        <f t="shared" si="0"/>
        <v>2794.1</v>
      </c>
    </row>
    <row r="89" customHeight="1" spans="2:7">
      <c r="B89" s="62" t="s">
        <v>67</v>
      </c>
      <c r="C89" s="238" t="s">
        <v>22</v>
      </c>
      <c r="D89" s="75"/>
      <c r="E89" s="239"/>
      <c r="F89" s="78">
        <v>120</v>
      </c>
      <c r="G89" s="79">
        <f t="shared" si="0"/>
        <v>2674.1</v>
      </c>
    </row>
    <row r="90" customHeight="1" spans="3:7">
      <c r="C90" s="238" t="s">
        <v>59</v>
      </c>
      <c r="D90" s="75"/>
      <c r="E90" s="239"/>
      <c r="F90" s="78">
        <v>175</v>
      </c>
      <c r="G90" s="79">
        <f t="shared" si="0"/>
        <v>2499.1</v>
      </c>
    </row>
    <row r="91" customHeight="1" spans="3:7">
      <c r="C91" s="238" t="s">
        <v>39</v>
      </c>
      <c r="D91" s="75"/>
      <c r="E91" s="239"/>
      <c r="F91" s="78">
        <v>62</v>
      </c>
      <c r="G91" s="79">
        <f t="shared" si="0"/>
        <v>2437.1</v>
      </c>
    </row>
    <row r="92" customHeight="1" spans="3:7">
      <c r="C92" s="238" t="s">
        <v>16</v>
      </c>
      <c r="D92" s="75"/>
      <c r="E92" s="239"/>
      <c r="F92" s="78">
        <v>100</v>
      </c>
      <c r="G92" s="79">
        <f t="shared" si="0"/>
        <v>2337.1</v>
      </c>
    </row>
    <row r="93" customHeight="1" spans="3:13">
      <c r="C93" s="238" t="s">
        <v>38</v>
      </c>
      <c r="D93" s="75"/>
      <c r="E93" s="239"/>
      <c r="F93" s="78">
        <v>100</v>
      </c>
      <c r="G93" s="79">
        <f t="shared" si="0"/>
        <v>2237.1</v>
      </c>
      <c r="H93" s="79"/>
      <c r="I93" s="77"/>
      <c r="J93" s="77"/>
      <c r="K93" s="77"/>
      <c r="M93" s="77"/>
    </row>
    <row r="94" customHeight="1" spans="3:13">
      <c r="C94" s="238" t="s">
        <v>177</v>
      </c>
      <c r="D94" s="75"/>
      <c r="E94" s="239"/>
      <c r="F94" s="78">
        <v>10</v>
      </c>
      <c r="G94" s="79">
        <f t="shared" si="0"/>
        <v>2227.1</v>
      </c>
      <c r="H94" s="79"/>
      <c r="I94" s="77"/>
      <c r="J94" s="77"/>
      <c r="K94" s="77"/>
      <c r="M94" s="77"/>
    </row>
    <row r="95" customHeight="1" spans="3:7">
      <c r="C95" s="238" t="s">
        <v>178</v>
      </c>
      <c r="D95" s="75"/>
      <c r="E95" s="239"/>
      <c r="F95" s="78">
        <v>10</v>
      </c>
      <c r="G95" s="79">
        <f t="shared" si="0"/>
        <v>2217.1</v>
      </c>
    </row>
    <row r="96" customHeight="1" spans="1:13">
      <c r="A96" s="62" t="s">
        <v>179</v>
      </c>
      <c r="C96" s="238" t="s">
        <v>39</v>
      </c>
      <c r="D96" s="75"/>
      <c r="E96" s="239"/>
      <c r="F96" s="78">
        <v>30</v>
      </c>
      <c r="G96" s="79">
        <f t="shared" si="0"/>
        <v>2187.1</v>
      </c>
      <c r="H96" s="158">
        <f>I96+J96+K96+L96+M96</f>
        <v>2187.1</v>
      </c>
      <c r="I96" s="62"/>
      <c r="J96" s="62">
        <v>1000</v>
      </c>
      <c r="K96" s="62">
        <v>0</v>
      </c>
      <c r="L96" s="62">
        <v>957.1</v>
      </c>
      <c r="M96" s="62">
        <v>230</v>
      </c>
    </row>
    <row r="97" customHeight="1" spans="1:13">
      <c r="A97" s="28"/>
      <c r="B97" s="28"/>
      <c r="C97" s="241" t="s">
        <v>94</v>
      </c>
      <c r="D97" s="82"/>
      <c r="E97" s="242">
        <v>11000</v>
      </c>
      <c r="F97" s="84"/>
      <c r="G97" s="85">
        <f t="shared" si="0"/>
        <v>13187.1</v>
      </c>
      <c r="H97" s="85"/>
      <c r="I97" s="86"/>
      <c r="J97" s="86"/>
      <c r="K97" s="86"/>
      <c r="L97" s="28"/>
      <c r="M97" s="86"/>
    </row>
    <row r="98" customHeight="1" spans="3:7">
      <c r="C98" s="238" t="s">
        <v>135</v>
      </c>
      <c r="D98" s="75"/>
      <c r="E98" s="239"/>
      <c r="F98" s="78">
        <v>15</v>
      </c>
      <c r="G98" s="79">
        <f t="shared" si="0"/>
        <v>13172.1</v>
      </c>
    </row>
    <row r="99" customHeight="1" spans="1:7">
      <c r="A99" s="62"/>
      <c r="C99" s="238" t="s">
        <v>135</v>
      </c>
      <c r="D99" s="75"/>
      <c r="E99" s="239"/>
      <c r="F99" s="78">
        <v>60</v>
      </c>
      <c r="G99" s="79">
        <f t="shared" si="0"/>
        <v>13112.1</v>
      </c>
    </row>
    <row r="100" customHeight="1" spans="3:7">
      <c r="C100" s="238" t="s">
        <v>180</v>
      </c>
      <c r="D100" s="75"/>
      <c r="E100" s="239"/>
      <c r="F100" s="78">
        <v>250</v>
      </c>
      <c r="G100" s="79">
        <f t="shared" si="0"/>
        <v>12862.1</v>
      </c>
    </row>
    <row r="101" customHeight="1" spans="3:7">
      <c r="C101" s="238" t="s">
        <v>181</v>
      </c>
      <c r="D101" s="75"/>
      <c r="E101" s="239"/>
      <c r="F101" s="78">
        <v>88</v>
      </c>
      <c r="G101" s="79">
        <f t="shared" si="0"/>
        <v>12774.1</v>
      </c>
    </row>
    <row r="102" customHeight="1" spans="3:7">
      <c r="C102" s="238" t="s">
        <v>39</v>
      </c>
      <c r="D102" s="75"/>
      <c r="E102" s="239"/>
      <c r="F102" s="78">
        <v>58.5</v>
      </c>
      <c r="G102" s="79">
        <f t="shared" si="0"/>
        <v>12715.6</v>
      </c>
    </row>
    <row r="103" customHeight="1" spans="3:13">
      <c r="C103" s="238" t="s">
        <v>39</v>
      </c>
      <c r="D103" s="75"/>
      <c r="E103" s="239"/>
      <c r="F103" s="78">
        <v>24</v>
      </c>
      <c r="G103" s="79">
        <f t="shared" si="0"/>
        <v>12691.6</v>
      </c>
      <c r="H103" s="79"/>
      <c r="I103" s="77"/>
      <c r="J103" s="77"/>
      <c r="K103" s="77"/>
      <c r="M103" s="77"/>
    </row>
    <row r="104" customHeight="1" spans="1:7">
      <c r="A104" s="62"/>
      <c r="C104" s="238" t="s">
        <v>136</v>
      </c>
      <c r="D104" s="75"/>
      <c r="E104" s="239"/>
      <c r="F104" s="78">
        <v>5</v>
      </c>
      <c r="G104" s="79">
        <f t="shared" si="0"/>
        <v>12686.6</v>
      </c>
    </row>
    <row r="105" customHeight="1" spans="3:7">
      <c r="C105" s="238" t="s">
        <v>182</v>
      </c>
      <c r="D105" s="75"/>
      <c r="E105" s="239"/>
      <c r="F105" s="78">
        <v>100</v>
      </c>
      <c r="G105" s="79">
        <f t="shared" si="0"/>
        <v>12586.6</v>
      </c>
    </row>
    <row r="106" customHeight="1" spans="1:13">
      <c r="A106" s="62" t="s">
        <v>183</v>
      </c>
      <c r="C106" s="216" t="s">
        <v>127</v>
      </c>
      <c r="D106" s="75"/>
      <c r="E106" s="239"/>
      <c r="F106" s="78">
        <v>203</v>
      </c>
      <c r="G106" s="79">
        <f t="shared" si="0"/>
        <v>12383.6</v>
      </c>
      <c r="H106" s="158">
        <f>I106+J106+K106+L106+M106</f>
        <v>12383.6</v>
      </c>
      <c r="I106" s="62">
        <v>0</v>
      </c>
      <c r="J106" s="62">
        <v>0</v>
      </c>
      <c r="K106" s="62">
        <v>0</v>
      </c>
      <c r="L106" s="62">
        <v>11781.6</v>
      </c>
      <c r="M106" s="62">
        <v>602</v>
      </c>
    </row>
    <row r="107" customHeight="1" spans="1:13">
      <c r="A107" s="28"/>
      <c r="B107" s="28"/>
      <c r="C107" s="241" t="s">
        <v>44</v>
      </c>
      <c r="D107" s="82"/>
      <c r="E107" s="242"/>
      <c r="F107" s="84">
        <v>120</v>
      </c>
      <c r="G107" s="85">
        <f t="shared" si="0"/>
        <v>12263.6</v>
      </c>
      <c r="H107" s="28"/>
      <c r="I107" s="28"/>
      <c r="J107" s="28"/>
      <c r="K107" s="28"/>
      <c r="L107" s="28"/>
      <c r="M107" s="28"/>
    </row>
    <row r="108" customHeight="1" spans="3:7">
      <c r="C108" s="238" t="s">
        <v>184</v>
      </c>
      <c r="D108" s="75"/>
      <c r="E108" s="239"/>
      <c r="F108" s="78">
        <v>1202</v>
      </c>
      <c r="G108" s="79">
        <f t="shared" si="0"/>
        <v>11061.6</v>
      </c>
    </row>
    <row r="109" customHeight="1" spans="3:7">
      <c r="C109" s="238" t="s">
        <v>22</v>
      </c>
      <c r="D109" s="75"/>
      <c r="E109" s="239"/>
      <c r="F109" s="78">
        <v>100</v>
      </c>
      <c r="G109" s="79">
        <f t="shared" si="0"/>
        <v>10961.6</v>
      </c>
    </row>
    <row r="110" customHeight="1" spans="3:7">
      <c r="C110" s="238" t="s">
        <v>185</v>
      </c>
      <c r="D110" s="75"/>
      <c r="E110" s="239"/>
      <c r="F110" s="78">
        <v>120</v>
      </c>
      <c r="G110" s="79">
        <f t="shared" si="0"/>
        <v>10841.6</v>
      </c>
    </row>
    <row r="111" customHeight="1" spans="3:7">
      <c r="C111" s="238" t="s">
        <v>186</v>
      </c>
      <c r="D111" s="75"/>
      <c r="E111" s="239"/>
      <c r="F111" s="78">
        <v>279</v>
      </c>
      <c r="G111" s="79">
        <f t="shared" si="0"/>
        <v>10562.6</v>
      </c>
    </row>
    <row r="112" customHeight="1" spans="3:7">
      <c r="C112" s="238" t="s">
        <v>187</v>
      </c>
      <c r="D112" s="75"/>
      <c r="E112" s="239"/>
      <c r="F112" s="78">
        <v>200</v>
      </c>
      <c r="G112" s="79">
        <f t="shared" si="0"/>
        <v>10362.6</v>
      </c>
    </row>
    <row r="113" customHeight="1" spans="3:7">
      <c r="C113" s="238" t="s">
        <v>59</v>
      </c>
      <c r="D113" s="75"/>
      <c r="E113" s="239"/>
      <c r="F113" s="78">
        <v>115</v>
      </c>
      <c r="G113" s="79">
        <f t="shared" si="0"/>
        <v>10247.6</v>
      </c>
    </row>
    <row r="114" customHeight="1" spans="3:7">
      <c r="C114" s="238" t="s">
        <v>22</v>
      </c>
      <c r="D114" s="75"/>
      <c r="E114" s="239"/>
      <c r="F114" s="78">
        <v>120</v>
      </c>
      <c r="G114" s="79">
        <f t="shared" si="0"/>
        <v>10127.6</v>
      </c>
    </row>
    <row r="115" customHeight="1" spans="3:7">
      <c r="C115" s="238" t="s">
        <v>16</v>
      </c>
      <c r="D115" s="75"/>
      <c r="E115" s="239"/>
      <c r="F115" s="78">
        <v>100</v>
      </c>
      <c r="G115" s="79">
        <f t="shared" si="0"/>
        <v>10027.6</v>
      </c>
    </row>
    <row r="116" customHeight="1" spans="3:7">
      <c r="C116" s="238" t="s">
        <v>39</v>
      </c>
      <c r="D116" s="75"/>
      <c r="E116" s="239"/>
      <c r="F116" s="78">
        <v>24</v>
      </c>
      <c r="G116" s="79">
        <f t="shared" si="0"/>
        <v>10003.6</v>
      </c>
    </row>
    <row r="117" customHeight="1" spans="3:7">
      <c r="C117" s="238" t="s">
        <v>188</v>
      </c>
      <c r="D117" s="75"/>
      <c r="E117" s="239"/>
      <c r="F117" s="78">
        <v>531</v>
      </c>
      <c r="G117" s="79">
        <f t="shared" si="0"/>
        <v>9472.6</v>
      </c>
    </row>
    <row r="118" customHeight="1" spans="3:7">
      <c r="C118" s="238" t="s">
        <v>189</v>
      </c>
      <c r="D118" s="75"/>
      <c r="E118" s="239"/>
      <c r="F118" s="78">
        <v>1368</v>
      </c>
      <c r="G118" s="79">
        <f t="shared" si="0"/>
        <v>8104.6</v>
      </c>
    </row>
    <row r="119" customHeight="1" spans="1:13">
      <c r="A119" s="62" t="s">
        <v>190</v>
      </c>
      <c r="C119" s="238" t="s">
        <v>45</v>
      </c>
      <c r="D119" s="75"/>
      <c r="E119" s="239"/>
      <c r="F119" s="78">
        <v>25</v>
      </c>
      <c r="G119" s="79">
        <f t="shared" si="0"/>
        <v>8079.6</v>
      </c>
      <c r="H119" s="158">
        <f>I119+J119+K119+L119+M119</f>
        <v>8079.6</v>
      </c>
      <c r="I119" s="62">
        <v>0</v>
      </c>
      <c r="J119" s="62">
        <v>0</v>
      </c>
      <c r="K119" s="62">
        <v>0</v>
      </c>
      <c r="L119" s="62">
        <v>7582.6</v>
      </c>
      <c r="M119" s="62">
        <f>400+40+50+5+2</f>
        <v>497</v>
      </c>
    </row>
    <row r="120" customHeight="1" spans="1:13">
      <c r="A120" s="28"/>
      <c r="B120" s="28"/>
      <c r="C120" s="241" t="s">
        <v>39</v>
      </c>
      <c r="D120" s="82"/>
      <c r="E120" s="242"/>
      <c r="F120" s="84">
        <v>88</v>
      </c>
      <c r="G120" s="85">
        <f t="shared" si="0"/>
        <v>7991.6</v>
      </c>
      <c r="H120" s="28"/>
      <c r="I120" s="28"/>
      <c r="J120" s="28"/>
      <c r="K120" s="28"/>
      <c r="L120" s="28"/>
      <c r="M120" s="28"/>
    </row>
    <row r="121" customHeight="1" spans="3:7">
      <c r="C121" s="238" t="s">
        <v>94</v>
      </c>
      <c r="D121" s="75"/>
      <c r="E121" s="239">
        <v>400</v>
      </c>
      <c r="F121" s="78"/>
      <c r="G121" s="79">
        <f t="shared" si="0"/>
        <v>8391.6</v>
      </c>
    </row>
    <row r="122" customHeight="1" spans="3:7">
      <c r="C122" s="238" t="s">
        <v>191</v>
      </c>
      <c r="D122" s="75"/>
      <c r="E122" s="239"/>
      <c r="F122" s="78">
        <f>190+190</f>
        <v>380</v>
      </c>
      <c r="G122" s="79">
        <f t="shared" si="0"/>
        <v>8011.6</v>
      </c>
    </row>
    <row r="123" customHeight="1" spans="3:7">
      <c r="C123" s="238" t="s">
        <v>39</v>
      </c>
      <c r="D123" s="75"/>
      <c r="E123" s="239"/>
      <c r="F123" s="78">
        <v>33</v>
      </c>
      <c r="G123" s="79">
        <f t="shared" si="0"/>
        <v>7978.6</v>
      </c>
    </row>
    <row r="124" customHeight="1" spans="3:7">
      <c r="C124" s="238" t="s">
        <v>135</v>
      </c>
      <c r="D124" s="75"/>
      <c r="E124" s="239"/>
      <c r="F124" s="78">
        <v>15</v>
      </c>
      <c r="G124" s="79">
        <f t="shared" si="0"/>
        <v>7963.6</v>
      </c>
    </row>
    <row r="125" customHeight="1" spans="3:7">
      <c r="C125" s="238" t="s">
        <v>132</v>
      </c>
      <c r="D125" s="75"/>
      <c r="E125" s="239"/>
      <c r="F125" s="78">
        <v>100</v>
      </c>
      <c r="G125" s="79">
        <f t="shared" si="0"/>
        <v>7863.6</v>
      </c>
    </row>
    <row r="126" customHeight="1" spans="3:7">
      <c r="C126" s="238" t="s">
        <v>175</v>
      </c>
      <c r="D126" s="75"/>
      <c r="E126" s="239"/>
      <c r="F126" s="78">
        <v>1337</v>
      </c>
      <c r="G126" s="79">
        <f t="shared" si="0"/>
        <v>6526.6</v>
      </c>
    </row>
    <row r="127" customHeight="1" spans="3:7">
      <c r="C127" s="238" t="s">
        <v>192</v>
      </c>
      <c r="D127" s="75"/>
      <c r="E127" s="239"/>
      <c r="F127" s="78">
        <v>236</v>
      </c>
      <c r="G127" s="79">
        <f t="shared" si="0"/>
        <v>6290.6</v>
      </c>
    </row>
    <row r="128" customHeight="1" spans="3:13">
      <c r="C128" s="238" t="s">
        <v>16</v>
      </c>
      <c r="D128" s="75"/>
      <c r="E128" s="239"/>
      <c r="F128" s="78">
        <v>200</v>
      </c>
      <c r="G128" s="79">
        <f t="shared" si="0"/>
        <v>6090.6</v>
      </c>
      <c r="H128" s="158">
        <f>I128+J128+K128+L128+M128</f>
        <v>6020.6</v>
      </c>
      <c r="I128" s="62">
        <v>0</v>
      </c>
      <c r="J128" s="62">
        <v>6</v>
      </c>
      <c r="K128" s="62">
        <v>0</v>
      </c>
      <c r="L128" s="62">
        <v>5972.6</v>
      </c>
      <c r="M128" s="62">
        <v>42</v>
      </c>
    </row>
    <row r="129" customHeight="1" spans="3:7">
      <c r="C129" s="238" t="s">
        <v>193</v>
      </c>
      <c r="D129" s="75"/>
      <c r="E129" s="239"/>
      <c r="F129" s="78">
        <v>100</v>
      </c>
      <c r="G129" s="79">
        <f t="shared" si="0"/>
        <v>5990.6</v>
      </c>
    </row>
    <row r="130" customHeight="1" spans="3:7">
      <c r="C130" s="238"/>
      <c r="D130" s="75"/>
      <c r="E130" s="239">
        <v>6</v>
      </c>
      <c r="F130" s="78"/>
      <c r="G130" s="79">
        <f t="shared" si="0"/>
        <v>5996.6</v>
      </c>
    </row>
    <row r="131" customHeight="1" spans="1:13">
      <c r="A131" s="28"/>
      <c r="B131" s="28"/>
      <c r="C131" s="241"/>
      <c r="D131" s="82"/>
      <c r="E131" s="242"/>
      <c r="F131" s="84"/>
      <c r="G131" s="85">
        <f t="shared" si="0"/>
        <v>5996.6</v>
      </c>
      <c r="H131" s="28"/>
      <c r="I131" s="28"/>
      <c r="J131" s="28"/>
      <c r="K131" s="28"/>
      <c r="L131" s="28"/>
      <c r="M131" s="28"/>
    </row>
    <row r="132" customHeight="1" spans="3:7">
      <c r="C132" s="238"/>
      <c r="D132" s="75"/>
      <c r="E132" s="239"/>
      <c r="F132" s="78"/>
      <c r="G132" s="79">
        <f t="shared" si="0"/>
        <v>5996.6</v>
      </c>
    </row>
    <row r="133" customHeight="1" spans="3:7">
      <c r="C133" s="238"/>
      <c r="D133" s="75"/>
      <c r="E133" s="239"/>
      <c r="F133" s="78"/>
      <c r="G133" s="79">
        <f t="shared" si="0"/>
        <v>5996.6</v>
      </c>
    </row>
    <row r="134" customHeight="1" spans="3:7">
      <c r="C134" s="238"/>
      <c r="D134" s="75"/>
      <c r="E134" s="239"/>
      <c r="F134" s="78"/>
      <c r="G134" s="79">
        <f t="shared" si="0"/>
        <v>5996.6</v>
      </c>
    </row>
    <row r="135" customHeight="1" spans="3:7">
      <c r="C135" s="238"/>
      <c r="D135" s="75"/>
      <c r="E135" s="239"/>
      <c r="F135" s="78"/>
      <c r="G135" s="79">
        <f t="shared" si="0"/>
        <v>5996.6</v>
      </c>
    </row>
    <row r="136" customHeight="1" spans="3:7">
      <c r="C136" s="238"/>
      <c r="D136" s="75"/>
      <c r="E136" s="239"/>
      <c r="F136" s="78"/>
      <c r="G136" s="79">
        <f t="shared" si="0"/>
        <v>5996.6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36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4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46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146" t="s">
        <v>194</v>
      </c>
      <c r="K2" s="5"/>
      <c r="L2" s="5"/>
      <c r="M2" s="5"/>
      <c r="N2" s="5"/>
    </row>
    <row r="3" customHeight="1" spans="1:14">
      <c r="A3" s="164" t="s">
        <v>195</v>
      </c>
      <c r="B3" s="164"/>
      <c r="C3" s="238" t="s">
        <v>6</v>
      </c>
      <c r="D3" s="75"/>
      <c r="E3" s="239">
        <f>5996.6+1991</f>
        <v>7987.6</v>
      </c>
      <c r="F3" s="78"/>
      <c r="G3" s="79">
        <f>E3-F3</f>
        <v>7987.6</v>
      </c>
      <c r="H3" s="79"/>
      <c r="I3" s="77"/>
      <c r="J3" s="77"/>
      <c r="K3" s="77"/>
      <c r="L3" s="77"/>
      <c r="M3" s="77"/>
      <c r="N3" s="77"/>
    </row>
    <row r="4" customHeight="1" spans="1:14">
      <c r="A4" s="164"/>
      <c r="B4" s="164"/>
      <c r="C4" s="238" t="s">
        <v>196</v>
      </c>
      <c r="D4" s="75"/>
      <c r="E4" s="239">
        <f>64</f>
        <v>64</v>
      </c>
      <c r="F4" s="78"/>
      <c r="G4" s="79">
        <f t="shared" ref="G4:G136" si="0">(E4-F4)+G3</f>
        <v>8051.6</v>
      </c>
      <c r="H4" s="79"/>
      <c r="I4" s="77"/>
      <c r="J4" s="77"/>
      <c r="K4" s="77"/>
      <c r="L4" s="77"/>
      <c r="M4" s="77"/>
      <c r="N4" s="77"/>
    </row>
    <row r="5" customHeight="1" spans="1:14">
      <c r="A5" s="164"/>
      <c r="B5" s="164"/>
      <c r="C5" s="238" t="s">
        <v>74</v>
      </c>
      <c r="D5" s="75"/>
      <c r="E5" s="239">
        <v>35079</v>
      </c>
      <c r="F5" s="78"/>
      <c r="G5" s="79">
        <f t="shared" si="0"/>
        <v>43130.6</v>
      </c>
      <c r="H5" s="79"/>
      <c r="I5" s="77"/>
      <c r="J5" s="77"/>
      <c r="K5" s="77"/>
      <c r="L5" s="77"/>
      <c r="M5" s="77"/>
      <c r="N5" s="77"/>
    </row>
    <row r="6" customHeight="1" spans="1:14">
      <c r="A6" s="164"/>
      <c r="B6" s="164"/>
      <c r="C6" s="238" t="s">
        <v>197</v>
      </c>
      <c r="D6" s="75"/>
      <c r="E6" s="239"/>
      <c r="F6" s="78">
        <v>1476</v>
      </c>
      <c r="G6" s="79">
        <f t="shared" si="0"/>
        <v>41654.6</v>
      </c>
      <c r="H6" s="79"/>
      <c r="I6" s="77"/>
      <c r="J6" s="77"/>
      <c r="K6" s="77"/>
      <c r="L6" s="77"/>
      <c r="M6" s="77"/>
      <c r="N6" s="77"/>
    </row>
    <row r="7" customHeight="1" spans="1:14">
      <c r="A7" s="164"/>
      <c r="B7" s="164"/>
      <c r="C7" s="238" t="s">
        <v>198</v>
      </c>
      <c r="D7" s="75"/>
      <c r="E7" s="239"/>
      <c r="F7" s="78">
        <v>1373</v>
      </c>
      <c r="G7" s="79">
        <f t="shared" si="0"/>
        <v>40281.6</v>
      </c>
      <c r="H7" s="79"/>
      <c r="I7" s="77"/>
      <c r="J7" s="77"/>
      <c r="K7" s="77"/>
      <c r="L7" s="77"/>
      <c r="M7" s="77"/>
      <c r="N7" s="77"/>
    </row>
    <row r="8" customHeight="1" spans="1:14">
      <c r="A8" s="164"/>
      <c r="B8" s="164"/>
      <c r="C8" s="238" t="s">
        <v>199</v>
      </c>
      <c r="D8" s="75"/>
      <c r="E8" s="239"/>
      <c r="F8" s="78">
        <v>60</v>
      </c>
      <c r="G8" s="79">
        <f t="shared" si="0"/>
        <v>40221.6</v>
      </c>
      <c r="H8" s="79"/>
      <c r="I8" s="77"/>
      <c r="J8" s="77"/>
      <c r="K8" s="77"/>
      <c r="L8" s="77"/>
      <c r="M8" s="77"/>
      <c r="N8" s="77"/>
    </row>
    <row r="9" customHeight="1" spans="1:14">
      <c r="A9" s="164" t="s">
        <v>200</v>
      </c>
      <c r="B9" s="164"/>
      <c r="C9" s="238" t="s">
        <v>201</v>
      </c>
      <c r="D9" s="75"/>
      <c r="E9" s="239"/>
      <c r="F9" s="78">
        <v>100</v>
      </c>
      <c r="G9" s="79">
        <f t="shared" si="0"/>
        <v>40121.6</v>
      </c>
      <c r="H9" s="79"/>
      <c r="I9" s="77"/>
      <c r="J9" s="77"/>
      <c r="K9" s="77"/>
      <c r="L9" s="77"/>
      <c r="M9" s="77"/>
      <c r="N9" s="77"/>
    </row>
    <row r="10" customHeight="1" spans="1:14">
      <c r="A10" s="164"/>
      <c r="B10" s="164"/>
      <c r="C10" s="238" t="s">
        <v>202</v>
      </c>
      <c r="D10" s="75"/>
      <c r="E10" s="239"/>
      <c r="F10" s="78">
        <v>70</v>
      </c>
      <c r="G10" s="79">
        <f t="shared" si="0"/>
        <v>40051.6</v>
      </c>
      <c r="H10" s="79"/>
      <c r="I10" s="77"/>
      <c r="J10" s="77"/>
      <c r="K10" s="77"/>
      <c r="L10" s="77"/>
      <c r="M10" s="77"/>
      <c r="N10" s="77"/>
    </row>
    <row r="11" customHeight="1" spans="1:14">
      <c r="A11" s="164"/>
      <c r="B11" s="164"/>
      <c r="C11" s="238" t="s">
        <v>203</v>
      </c>
      <c r="D11" s="75"/>
      <c r="E11" s="239"/>
      <c r="F11" s="78">
        <v>69</v>
      </c>
      <c r="G11" s="79">
        <f t="shared" si="0"/>
        <v>39982.6</v>
      </c>
      <c r="H11" s="79"/>
      <c r="I11" s="77"/>
      <c r="J11" s="77"/>
      <c r="K11" s="77"/>
      <c r="L11" s="77"/>
      <c r="M11" s="77"/>
      <c r="N11" s="77"/>
    </row>
    <row r="12" customHeight="1" spans="1:14">
      <c r="A12" s="164"/>
      <c r="B12" s="164"/>
      <c r="C12" s="238" t="s">
        <v>27</v>
      </c>
      <c r="D12" s="75"/>
      <c r="E12" s="239"/>
      <c r="F12" s="78">
        <v>24</v>
      </c>
      <c r="G12" s="79">
        <f t="shared" si="0"/>
        <v>39958.6</v>
      </c>
      <c r="H12" s="79"/>
      <c r="I12" s="77"/>
      <c r="J12" s="77"/>
      <c r="K12" s="77"/>
      <c r="L12" s="77"/>
      <c r="M12" s="77"/>
      <c r="N12" s="77"/>
    </row>
    <row r="13" customHeight="1" spans="1:14">
      <c r="A13" s="214"/>
      <c r="C13" s="238" t="s">
        <v>37</v>
      </c>
      <c r="D13" s="75"/>
      <c r="E13" s="239"/>
      <c r="F13" s="78">
        <v>220</v>
      </c>
      <c r="G13" s="79">
        <f t="shared" si="0"/>
        <v>39738.6</v>
      </c>
      <c r="H13" s="79"/>
      <c r="I13" s="77"/>
      <c r="J13" s="77"/>
      <c r="K13" s="77"/>
      <c r="L13" s="77"/>
      <c r="M13" s="77"/>
      <c r="N13" s="77"/>
    </row>
    <row r="14" customHeight="1" spans="1:14">
      <c r="A14" s="164"/>
      <c r="B14" s="164"/>
      <c r="C14" s="238" t="s">
        <v>48</v>
      </c>
      <c r="D14" s="75"/>
      <c r="E14" s="239"/>
      <c r="F14" s="78">
        <v>30</v>
      </c>
      <c r="G14" s="79">
        <f t="shared" si="0"/>
        <v>39708.6</v>
      </c>
      <c r="H14" s="79"/>
      <c r="I14" s="77"/>
      <c r="J14" s="77"/>
      <c r="K14" s="77"/>
      <c r="L14" s="77"/>
      <c r="M14" s="77"/>
      <c r="N14" s="77"/>
    </row>
    <row r="15" customHeight="1" spans="1:7">
      <c r="A15" s="164"/>
      <c r="B15" s="164"/>
      <c r="C15" s="238" t="s">
        <v>121</v>
      </c>
      <c r="D15" s="75"/>
      <c r="E15" s="239"/>
      <c r="F15" s="78">
        <v>697</v>
      </c>
      <c r="G15" s="79">
        <f t="shared" si="0"/>
        <v>39011.6</v>
      </c>
    </row>
    <row r="16" customHeight="1" spans="1:14">
      <c r="A16" s="164"/>
      <c r="B16" s="164"/>
      <c r="C16" s="238" t="s">
        <v>58</v>
      </c>
      <c r="D16" s="75"/>
      <c r="E16" s="239"/>
      <c r="F16" s="78">
        <v>20</v>
      </c>
      <c r="G16" s="79">
        <f t="shared" si="0"/>
        <v>38991.6</v>
      </c>
      <c r="H16" s="79"/>
      <c r="I16" s="77"/>
      <c r="J16" s="77"/>
      <c r="K16" s="77"/>
      <c r="L16" s="77"/>
      <c r="N16" s="77"/>
    </row>
    <row r="17" customHeight="1" spans="1:14">
      <c r="A17" s="164"/>
      <c r="B17" s="164"/>
      <c r="C17" s="238" t="s">
        <v>204</v>
      </c>
      <c r="D17" s="75"/>
      <c r="E17" s="239"/>
      <c r="F17" s="78">
        <v>15185</v>
      </c>
      <c r="G17" s="79">
        <f t="shared" si="0"/>
        <v>23806.6</v>
      </c>
      <c r="H17" s="158">
        <f>I17+K17+L17+M17+N17</f>
        <v>23806.6</v>
      </c>
      <c r="I17" s="62">
        <v>2000</v>
      </c>
      <c r="J17" s="62">
        <v>84450</v>
      </c>
      <c r="K17" s="62">
        <v>1000</v>
      </c>
      <c r="L17" s="62">
        <v>0</v>
      </c>
      <c r="M17" s="62">
        <v>20744.6</v>
      </c>
      <c r="N17" s="158">
        <f>20+40+2</f>
        <v>62</v>
      </c>
    </row>
    <row r="18" customHeight="1" spans="1:14">
      <c r="A18" s="240"/>
      <c r="B18" s="240"/>
      <c r="C18" s="241"/>
      <c r="D18" s="82"/>
      <c r="E18" s="242"/>
      <c r="F18" s="84"/>
      <c r="G18" s="85">
        <f t="shared" si="0"/>
        <v>23806.6</v>
      </c>
      <c r="H18" s="28"/>
      <c r="I18" s="28"/>
      <c r="J18" s="28"/>
      <c r="K18" s="28"/>
      <c r="L18" s="28"/>
      <c r="M18" s="28"/>
      <c r="N18" s="28"/>
    </row>
    <row r="19" customHeight="1" spans="1:14">
      <c r="A19" s="164"/>
      <c r="B19" s="164"/>
      <c r="C19" s="238"/>
      <c r="D19" s="75"/>
      <c r="E19" s="239"/>
      <c r="F19" s="78"/>
      <c r="G19" s="79">
        <f t="shared" si="0"/>
        <v>23806.6</v>
      </c>
      <c r="H19" s="79"/>
      <c r="I19" s="77"/>
      <c r="J19" s="77"/>
      <c r="K19" s="77"/>
      <c r="L19" s="77"/>
      <c r="M19" s="77"/>
      <c r="N19" s="77"/>
    </row>
    <row r="20" customHeight="1" spans="1:14">
      <c r="A20" s="164"/>
      <c r="B20" s="164"/>
      <c r="C20" s="238"/>
      <c r="D20" s="75"/>
      <c r="E20" s="239"/>
      <c r="F20" s="78"/>
      <c r="G20" s="79">
        <f t="shared" si="0"/>
        <v>23806.6</v>
      </c>
      <c r="H20" s="79"/>
      <c r="I20" s="77"/>
      <c r="J20" s="77"/>
      <c r="K20" s="77"/>
      <c r="L20" s="77"/>
      <c r="M20" s="77"/>
      <c r="N20" s="77"/>
    </row>
    <row r="21" customHeight="1" spans="1:7">
      <c r="A21" s="164"/>
      <c r="B21" s="164"/>
      <c r="C21" s="238"/>
      <c r="D21" s="75"/>
      <c r="E21" s="239"/>
      <c r="F21" s="78"/>
      <c r="G21" s="79">
        <f t="shared" si="0"/>
        <v>23806.6</v>
      </c>
    </row>
    <row r="22" customHeight="1" spans="1:7">
      <c r="A22" s="164"/>
      <c r="B22" s="164"/>
      <c r="C22" s="238"/>
      <c r="D22" s="75"/>
      <c r="E22" s="239"/>
      <c r="F22" s="78"/>
      <c r="G22" s="79">
        <f t="shared" si="0"/>
        <v>23806.6</v>
      </c>
    </row>
    <row r="23" customHeight="1" spans="1:7">
      <c r="A23" s="164"/>
      <c r="B23" s="164"/>
      <c r="C23" s="238"/>
      <c r="D23" s="75"/>
      <c r="E23" s="239"/>
      <c r="F23" s="78"/>
      <c r="G23" s="79">
        <f t="shared" si="0"/>
        <v>23806.6</v>
      </c>
    </row>
    <row r="24" customHeight="1" spans="1:7">
      <c r="A24" s="164"/>
      <c r="B24" s="164"/>
      <c r="C24" s="238"/>
      <c r="D24" s="75"/>
      <c r="E24" s="239"/>
      <c r="F24" s="78"/>
      <c r="G24" s="79">
        <f t="shared" si="0"/>
        <v>23806.6</v>
      </c>
    </row>
    <row r="25" customHeight="1" spans="1:14">
      <c r="A25" s="164"/>
      <c r="B25" s="164"/>
      <c r="C25" s="238"/>
      <c r="D25" s="75"/>
      <c r="E25" s="239"/>
      <c r="F25" s="78"/>
      <c r="G25" s="79">
        <f t="shared" si="0"/>
        <v>23806.6</v>
      </c>
      <c r="H25" s="79"/>
      <c r="I25" s="77"/>
      <c r="J25" s="77"/>
      <c r="K25" s="77"/>
      <c r="L25" s="77"/>
      <c r="M25" s="77"/>
      <c r="N25" s="77"/>
    </row>
    <row r="26" customHeight="1" spans="1:14">
      <c r="A26" s="164"/>
      <c r="B26" s="164"/>
      <c r="C26" s="238"/>
      <c r="D26" s="75"/>
      <c r="E26" s="239"/>
      <c r="F26" s="78"/>
      <c r="G26" s="79">
        <f t="shared" si="0"/>
        <v>23806.6</v>
      </c>
      <c r="H26" s="79"/>
      <c r="I26" s="77"/>
      <c r="J26" s="77"/>
      <c r="K26" s="77"/>
      <c r="L26" s="77"/>
      <c r="M26" s="77"/>
      <c r="N26" s="77"/>
    </row>
    <row r="27" customHeight="1" spans="1:14">
      <c r="A27" s="164"/>
      <c r="B27" s="164"/>
      <c r="C27" s="238"/>
      <c r="D27" s="75"/>
      <c r="E27" s="239"/>
      <c r="F27" s="78"/>
      <c r="G27" s="79">
        <f t="shared" si="0"/>
        <v>23806.6</v>
      </c>
      <c r="H27" s="79"/>
      <c r="I27" s="77"/>
      <c r="J27" s="77"/>
      <c r="K27" s="77"/>
      <c r="L27" s="77"/>
      <c r="M27" s="77"/>
      <c r="N27" s="77"/>
    </row>
    <row r="28" customHeight="1" spans="1:14">
      <c r="A28" s="164"/>
      <c r="B28" s="164"/>
      <c r="C28" s="238"/>
      <c r="D28" s="75"/>
      <c r="E28" s="239"/>
      <c r="F28" s="78"/>
      <c r="G28" s="79">
        <f t="shared" si="0"/>
        <v>23806.6</v>
      </c>
      <c r="H28" s="79"/>
      <c r="I28" s="77"/>
      <c r="J28" s="77"/>
      <c r="K28" s="77"/>
      <c r="L28" s="77"/>
      <c r="N28" s="77"/>
    </row>
    <row r="29" customHeight="1" spans="1:14">
      <c r="A29" s="164"/>
      <c r="B29" s="164"/>
      <c r="C29" s="238" t="s">
        <v>205</v>
      </c>
      <c r="D29" s="75"/>
      <c r="E29" s="239"/>
      <c r="F29" s="78">
        <v>1000</v>
      </c>
      <c r="G29" s="79">
        <f t="shared" si="0"/>
        <v>22806.6</v>
      </c>
      <c r="H29" s="79"/>
      <c r="I29" s="77"/>
      <c r="J29" s="77"/>
      <c r="K29" s="77"/>
      <c r="L29" s="77"/>
      <c r="N29" s="77"/>
    </row>
    <row r="30" customHeight="1" spans="1:14">
      <c r="A30" s="164"/>
      <c r="B30" s="164"/>
      <c r="C30" s="238"/>
      <c r="D30" s="75"/>
      <c r="E30" s="239"/>
      <c r="F30" s="78"/>
      <c r="G30" s="79">
        <f t="shared" si="0"/>
        <v>22806.6</v>
      </c>
      <c r="H30" s="79"/>
      <c r="I30" s="77"/>
      <c r="J30" s="77"/>
      <c r="K30" s="77"/>
      <c r="L30" s="77"/>
      <c r="M30" s="77"/>
      <c r="N30" s="77"/>
    </row>
    <row r="31" customHeight="1" spans="1:7">
      <c r="A31" s="164"/>
      <c r="B31" s="164"/>
      <c r="C31" s="238" t="s">
        <v>106</v>
      </c>
      <c r="D31" s="75"/>
      <c r="E31" s="239"/>
      <c r="F31" s="78">
        <v>50</v>
      </c>
      <c r="G31" s="79">
        <f t="shared" si="0"/>
        <v>22756.6</v>
      </c>
    </row>
    <row r="32" customHeight="1" spans="3:14">
      <c r="C32" s="238" t="s">
        <v>45</v>
      </c>
      <c r="D32" s="75"/>
      <c r="E32" s="239"/>
      <c r="F32" s="78">
        <v>75</v>
      </c>
      <c r="G32" s="79">
        <f t="shared" si="0"/>
        <v>22681.6</v>
      </c>
      <c r="H32" s="79"/>
      <c r="I32" s="77"/>
      <c r="J32" s="77"/>
      <c r="K32" s="77"/>
      <c r="L32" s="77"/>
      <c r="M32" s="77"/>
      <c r="N32" s="77"/>
    </row>
    <row r="33" customHeight="1" spans="1:14">
      <c r="A33" s="214"/>
      <c r="C33" s="238" t="s">
        <v>20</v>
      </c>
      <c r="D33" s="75"/>
      <c r="E33" s="239"/>
      <c r="F33" s="78">
        <v>250</v>
      </c>
      <c r="G33" s="79">
        <f t="shared" si="0"/>
        <v>22431.6</v>
      </c>
      <c r="H33" s="79"/>
      <c r="I33" s="77"/>
      <c r="J33" s="77"/>
      <c r="K33" s="77"/>
      <c r="L33" s="77"/>
      <c r="M33" s="77"/>
      <c r="N33" s="77"/>
    </row>
    <row r="34" customHeight="1" spans="3:10">
      <c r="C34" s="238"/>
      <c r="D34" s="75"/>
      <c r="E34" s="239"/>
      <c r="F34" s="78"/>
      <c r="G34" s="79">
        <f t="shared" si="0"/>
        <v>22431.6</v>
      </c>
      <c r="J34" s="62"/>
    </row>
    <row r="35" customHeight="1" spans="3:14">
      <c r="C35" s="238"/>
      <c r="D35" s="75"/>
      <c r="E35" s="239"/>
      <c r="F35" s="78"/>
      <c r="G35" s="79">
        <f t="shared" si="0"/>
        <v>22431.6</v>
      </c>
      <c r="H35" s="243">
        <f>I35+K35+L35+M35+N35</f>
        <v>54892.38</v>
      </c>
      <c r="I35" s="62">
        <v>25701</v>
      </c>
      <c r="J35" s="62">
        <v>74961</v>
      </c>
      <c r="K35" s="62">
        <v>424</v>
      </c>
      <c r="L35" s="62">
        <v>0</v>
      </c>
      <c r="M35" s="245">
        <v>24817.38</v>
      </c>
      <c r="N35" s="158">
        <f>3500+450</f>
        <v>3950</v>
      </c>
    </row>
    <row r="36" customHeight="1" spans="3:7">
      <c r="C36" s="238"/>
      <c r="D36" s="75"/>
      <c r="E36" s="239"/>
      <c r="F36" s="78"/>
      <c r="G36" s="79">
        <f t="shared" si="0"/>
        <v>22431.6</v>
      </c>
    </row>
    <row r="37" customHeight="1" spans="3:8">
      <c r="C37" s="238"/>
      <c r="D37" s="75"/>
      <c r="E37" s="239"/>
      <c r="F37" s="78"/>
      <c r="G37" s="79">
        <f t="shared" si="0"/>
        <v>22431.6</v>
      </c>
      <c r="H37" s="243">
        <f>H35-30000</f>
        <v>24892.38</v>
      </c>
    </row>
    <row r="38" customHeight="1" spans="3:8">
      <c r="C38" s="238"/>
      <c r="D38" s="75"/>
      <c r="E38" s="239"/>
      <c r="F38" s="78"/>
      <c r="G38" s="79">
        <f t="shared" si="0"/>
        <v>22431.6</v>
      </c>
      <c r="H38" s="243">
        <f>H37-25000</f>
        <v>-107.619999999995</v>
      </c>
    </row>
    <row r="39" customHeight="1" spans="1:8">
      <c r="A39" s="214"/>
      <c r="C39" s="238"/>
      <c r="D39" s="75"/>
      <c r="E39" s="239"/>
      <c r="F39" s="78"/>
      <c r="G39" s="79">
        <f t="shared" si="0"/>
        <v>22431.6</v>
      </c>
      <c r="H39" s="243">
        <f>H38+36000</f>
        <v>35892.38</v>
      </c>
    </row>
    <row r="40" customHeight="1" spans="1:8">
      <c r="A40" s="214"/>
      <c r="C40" s="238"/>
      <c r="D40" s="75"/>
      <c r="E40" s="239"/>
      <c r="F40" s="78"/>
      <c r="G40" s="79">
        <f t="shared" si="0"/>
        <v>22431.6</v>
      </c>
      <c r="H40" s="243">
        <f>H39-15000</f>
        <v>20892.38</v>
      </c>
    </row>
    <row r="41" customHeight="1" spans="1:8">
      <c r="A41" s="214"/>
      <c r="C41" s="238"/>
      <c r="D41" s="75"/>
      <c r="E41" s="239"/>
      <c r="F41" s="78"/>
      <c r="G41" s="79">
        <f t="shared" si="0"/>
        <v>22431.6</v>
      </c>
      <c r="H41" s="79">
        <f>H40-10000</f>
        <v>10892.38</v>
      </c>
    </row>
    <row r="42" customHeight="1" spans="3:8">
      <c r="C42" s="238"/>
      <c r="D42" s="75"/>
      <c r="E42" s="239"/>
      <c r="F42" s="78"/>
      <c r="G42" s="79">
        <f t="shared" si="0"/>
        <v>22431.6</v>
      </c>
      <c r="H42" s="172">
        <f t="shared" ref="H42:H43" si="1">H41-3000</f>
        <v>7892.38</v>
      </c>
    </row>
    <row r="43" customHeight="1" spans="3:8">
      <c r="C43" s="238"/>
      <c r="D43" s="75"/>
      <c r="E43" s="239"/>
      <c r="F43" s="78"/>
      <c r="G43" s="79">
        <f t="shared" si="0"/>
        <v>22431.6</v>
      </c>
      <c r="H43" s="172">
        <f t="shared" si="1"/>
        <v>4892.38</v>
      </c>
    </row>
    <row r="44" customHeight="1" spans="3:7">
      <c r="C44" s="238"/>
      <c r="D44" s="75"/>
      <c r="E44" s="239"/>
      <c r="F44" s="78"/>
      <c r="G44" s="79">
        <f t="shared" si="0"/>
        <v>22431.6</v>
      </c>
    </row>
    <row r="45" customHeight="1" spans="3:12">
      <c r="C45" s="238"/>
      <c r="D45" s="75"/>
      <c r="E45" s="239"/>
      <c r="F45" s="78"/>
      <c r="G45" s="79">
        <f t="shared" si="0"/>
        <v>22431.6</v>
      </c>
      <c r="L45" s="246"/>
    </row>
    <row r="46" customHeight="1" spans="3:12">
      <c r="C46" s="238"/>
      <c r="D46" s="75"/>
      <c r="E46" s="239"/>
      <c r="F46" s="78"/>
      <c r="G46" s="79">
        <f t="shared" si="0"/>
        <v>22431.6</v>
      </c>
      <c r="L46" s="246"/>
    </row>
    <row r="47" customHeight="1" spans="3:14">
      <c r="C47" s="238"/>
      <c r="D47" s="75"/>
      <c r="E47" s="239"/>
      <c r="F47" s="78"/>
      <c r="G47" s="79">
        <f t="shared" si="0"/>
        <v>22431.6</v>
      </c>
      <c r="H47" s="79"/>
      <c r="I47" s="77"/>
      <c r="J47" s="77"/>
      <c r="K47" s="77"/>
      <c r="L47" s="227"/>
      <c r="N47" s="77"/>
    </row>
    <row r="48" customHeight="1" spans="3:12">
      <c r="C48" s="238"/>
      <c r="D48" s="75"/>
      <c r="E48" s="239"/>
      <c r="F48" s="78"/>
      <c r="G48" s="79">
        <f t="shared" si="0"/>
        <v>22431.6</v>
      </c>
      <c r="L48" s="246"/>
    </row>
    <row r="49" customHeight="1" spans="3:12">
      <c r="C49" s="238"/>
      <c r="D49" s="75"/>
      <c r="E49" s="239"/>
      <c r="F49" s="78"/>
      <c r="G49" s="79">
        <f t="shared" si="0"/>
        <v>22431.6</v>
      </c>
      <c r="L49" s="246"/>
    </row>
    <row r="50" customHeight="1" spans="3:14">
      <c r="C50" s="238"/>
      <c r="D50" s="75"/>
      <c r="E50" s="239"/>
      <c r="F50" s="78"/>
      <c r="G50" s="79">
        <f t="shared" si="0"/>
        <v>22431.6</v>
      </c>
      <c r="H50" s="79"/>
      <c r="I50" s="77"/>
      <c r="J50" s="77"/>
      <c r="K50" s="77"/>
      <c r="L50" s="77"/>
      <c r="M50" s="77"/>
      <c r="N50" s="77"/>
    </row>
    <row r="51" customHeight="1" spans="1:7">
      <c r="A51" s="244"/>
      <c r="C51" s="238"/>
      <c r="D51" s="75"/>
      <c r="E51" s="239"/>
      <c r="F51" s="78"/>
      <c r="G51" s="79">
        <f t="shared" si="0"/>
        <v>22431.6</v>
      </c>
    </row>
    <row r="52" customHeight="1" spans="3:7">
      <c r="C52" s="238"/>
      <c r="D52" s="75"/>
      <c r="E52" s="239"/>
      <c r="F52" s="78"/>
      <c r="G52" s="79">
        <f t="shared" si="0"/>
        <v>22431.6</v>
      </c>
    </row>
    <row r="53" customHeight="1" spans="3:7">
      <c r="C53" s="238"/>
      <c r="D53" s="75"/>
      <c r="E53" s="239"/>
      <c r="F53" s="78"/>
      <c r="G53" s="79">
        <f t="shared" si="0"/>
        <v>22431.6</v>
      </c>
    </row>
    <row r="54" customHeight="1" spans="3:7">
      <c r="C54" s="238"/>
      <c r="D54" s="75"/>
      <c r="E54" s="239"/>
      <c r="F54" s="78"/>
      <c r="G54" s="79">
        <f t="shared" si="0"/>
        <v>22431.6</v>
      </c>
    </row>
    <row r="55" customHeight="1" spans="3:7">
      <c r="C55" s="238"/>
      <c r="D55" s="75"/>
      <c r="E55" s="239"/>
      <c r="F55" s="78"/>
      <c r="G55" s="79">
        <f t="shared" si="0"/>
        <v>22431.6</v>
      </c>
    </row>
    <row r="56" customHeight="1" spans="1:7">
      <c r="A56" s="244"/>
      <c r="C56" s="238"/>
      <c r="D56" s="75"/>
      <c r="E56" s="239"/>
      <c r="F56" s="78"/>
      <c r="G56" s="79">
        <f t="shared" si="0"/>
        <v>22431.6</v>
      </c>
    </row>
    <row r="57" customHeight="1" spans="1:7">
      <c r="A57" s="214"/>
      <c r="C57" s="238"/>
      <c r="D57" s="75"/>
      <c r="E57" s="239"/>
      <c r="F57" s="78"/>
      <c r="G57" s="79">
        <f t="shared" si="0"/>
        <v>22431.6</v>
      </c>
    </row>
    <row r="58" customHeight="1" spans="3:7">
      <c r="C58" s="238"/>
      <c r="D58" s="75"/>
      <c r="E58" s="239"/>
      <c r="F58" s="78"/>
      <c r="G58" s="79">
        <f t="shared" si="0"/>
        <v>22431.6</v>
      </c>
    </row>
    <row r="59" customHeight="1" spans="3:14">
      <c r="C59" s="238"/>
      <c r="D59" s="75"/>
      <c r="E59" s="239"/>
      <c r="F59" s="78"/>
      <c r="G59" s="79">
        <f t="shared" si="0"/>
        <v>22431.6</v>
      </c>
      <c r="H59" s="79"/>
      <c r="I59" s="77"/>
      <c r="J59" s="77"/>
      <c r="K59" s="77"/>
      <c r="L59" s="77"/>
      <c r="M59" s="77"/>
      <c r="N59" s="77"/>
    </row>
    <row r="60" customHeight="1" spans="3:7">
      <c r="C60" s="238"/>
      <c r="D60" s="75"/>
      <c r="E60" s="239"/>
      <c r="F60" s="78"/>
      <c r="G60" s="79">
        <f t="shared" si="0"/>
        <v>22431.6</v>
      </c>
    </row>
    <row r="61" customHeight="1" spans="3:7">
      <c r="C61" s="238"/>
      <c r="D61" s="75"/>
      <c r="E61" s="239"/>
      <c r="F61" s="78"/>
      <c r="G61" s="79">
        <f t="shared" si="0"/>
        <v>22431.6</v>
      </c>
    </row>
    <row r="62" customHeight="1" spans="3:14">
      <c r="C62" s="238"/>
      <c r="D62" s="75"/>
      <c r="E62" s="239"/>
      <c r="F62" s="78"/>
      <c r="G62" s="79">
        <f t="shared" si="0"/>
        <v>22431.6</v>
      </c>
      <c r="H62" s="79"/>
      <c r="I62" s="77"/>
      <c r="J62" s="77"/>
      <c r="K62" s="77"/>
      <c r="L62" s="77"/>
      <c r="N62" s="77"/>
    </row>
    <row r="63" customHeight="1" spans="3:7">
      <c r="C63" s="238"/>
      <c r="D63" s="75"/>
      <c r="E63" s="239"/>
      <c r="F63" s="78"/>
      <c r="G63" s="79">
        <f t="shared" si="0"/>
        <v>22431.6</v>
      </c>
    </row>
    <row r="64" customHeight="1" spans="3:7">
      <c r="C64" s="238"/>
      <c r="D64" s="75"/>
      <c r="E64" s="239"/>
      <c r="F64" s="78"/>
      <c r="G64" s="79">
        <f t="shared" si="0"/>
        <v>22431.6</v>
      </c>
    </row>
    <row r="65" customHeight="1" spans="3:7">
      <c r="C65" s="238"/>
      <c r="D65" s="75"/>
      <c r="E65" s="239"/>
      <c r="F65" s="78"/>
      <c r="G65" s="79">
        <f t="shared" si="0"/>
        <v>22431.6</v>
      </c>
    </row>
    <row r="66" customHeight="1" spans="3:7">
      <c r="C66" s="238"/>
      <c r="D66" s="75"/>
      <c r="E66" s="239"/>
      <c r="F66" s="78"/>
      <c r="G66" s="79">
        <f t="shared" si="0"/>
        <v>22431.6</v>
      </c>
    </row>
    <row r="67" customHeight="1" spans="3:7">
      <c r="C67" s="238"/>
      <c r="D67" s="75"/>
      <c r="E67" s="239"/>
      <c r="F67" s="78"/>
      <c r="G67" s="79">
        <f t="shared" si="0"/>
        <v>22431.6</v>
      </c>
    </row>
    <row r="68" customHeight="1" spans="3:14">
      <c r="C68" s="238"/>
      <c r="D68" s="75"/>
      <c r="E68" s="239"/>
      <c r="F68" s="78"/>
      <c r="G68" s="79">
        <f t="shared" si="0"/>
        <v>22431.6</v>
      </c>
      <c r="H68" s="79"/>
      <c r="I68" s="77"/>
      <c r="J68" s="77"/>
      <c r="K68" s="77"/>
      <c r="L68" s="77"/>
      <c r="N68" s="77"/>
    </row>
    <row r="69" customHeight="1" spans="3:7">
      <c r="C69" s="238"/>
      <c r="D69" s="75"/>
      <c r="E69" s="239"/>
      <c r="F69" s="78"/>
      <c r="G69" s="79">
        <f t="shared" si="0"/>
        <v>22431.6</v>
      </c>
    </row>
    <row r="70" customHeight="1" spans="3:7">
      <c r="C70" s="238"/>
      <c r="D70" s="75"/>
      <c r="E70" s="239"/>
      <c r="F70" s="78"/>
      <c r="G70" s="79">
        <f t="shared" si="0"/>
        <v>22431.6</v>
      </c>
    </row>
    <row r="71" customHeight="1" spans="3:7">
      <c r="C71" s="238"/>
      <c r="D71" s="75"/>
      <c r="E71" s="239"/>
      <c r="F71" s="78"/>
      <c r="G71" s="79">
        <f t="shared" si="0"/>
        <v>22431.6</v>
      </c>
    </row>
    <row r="72" customHeight="1" spans="3:7">
      <c r="C72" s="238"/>
      <c r="D72" s="75"/>
      <c r="E72" s="239"/>
      <c r="F72" s="78"/>
      <c r="G72" s="79">
        <f t="shared" si="0"/>
        <v>22431.6</v>
      </c>
    </row>
    <row r="73" customHeight="1" spans="3:7">
      <c r="C73" s="238"/>
      <c r="D73" s="75"/>
      <c r="E73" s="239"/>
      <c r="F73" s="78"/>
      <c r="G73" s="79">
        <f t="shared" si="0"/>
        <v>22431.6</v>
      </c>
    </row>
    <row r="74" customHeight="1" spans="3:7">
      <c r="C74" s="238"/>
      <c r="D74" s="75"/>
      <c r="E74" s="239"/>
      <c r="F74" s="78"/>
      <c r="G74" s="79">
        <f t="shared" si="0"/>
        <v>22431.6</v>
      </c>
    </row>
    <row r="75" customHeight="1" spans="3:7">
      <c r="C75" s="238"/>
      <c r="D75" s="75"/>
      <c r="E75" s="239"/>
      <c r="F75" s="78"/>
      <c r="G75" s="79">
        <f t="shared" si="0"/>
        <v>22431.6</v>
      </c>
    </row>
    <row r="76" customHeight="1" spans="3:7">
      <c r="C76" s="238"/>
      <c r="D76" s="75"/>
      <c r="E76" s="239"/>
      <c r="F76" s="78"/>
      <c r="G76" s="79">
        <f t="shared" si="0"/>
        <v>22431.6</v>
      </c>
    </row>
    <row r="77" customHeight="1" spans="3:7">
      <c r="C77" s="238"/>
      <c r="D77" s="75"/>
      <c r="E77" s="239"/>
      <c r="F77" s="78"/>
      <c r="G77" s="79">
        <f t="shared" si="0"/>
        <v>22431.6</v>
      </c>
    </row>
    <row r="78" customHeight="1" spans="3:14">
      <c r="C78" s="238"/>
      <c r="D78" s="75"/>
      <c r="E78" s="239"/>
      <c r="F78" s="78"/>
      <c r="G78" s="79">
        <f t="shared" si="0"/>
        <v>22431.6</v>
      </c>
      <c r="H78" s="79"/>
      <c r="I78" s="77"/>
      <c r="J78" s="77"/>
      <c r="K78" s="77"/>
      <c r="L78" s="77"/>
      <c r="N78" s="77"/>
    </row>
    <row r="79" customHeight="1" spans="3:7">
      <c r="C79" s="238"/>
      <c r="D79" s="75"/>
      <c r="E79" s="239"/>
      <c r="F79" s="78"/>
      <c r="G79" s="79">
        <f t="shared" si="0"/>
        <v>22431.6</v>
      </c>
    </row>
    <row r="80" customHeight="1" spans="3:7">
      <c r="C80" s="238"/>
      <c r="D80" s="75"/>
      <c r="E80" s="239"/>
      <c r="F80" s="78"/>
      <c r="G80" s="79">
        <f t="shared" si="0"/>
        <v>22431.6</v>
      </c>
    </row>
    <row r="81" customHeight="1" spans="3:7">
      <c r="C81" s="238"/>
      <c r="D81" s="75"/>
      <c r="E81" s="239"/>
      <c r="F81" s="78"/>
      <c r="G81" s="79">
        <f t="shared" si="0"/>
        <v>22431.6</v>
      </c>
    </row>
    <row r="82" customHeight="1" spans="3:7">
      <c r="C82" s="238"/>
      <c r="D82" s="75"/>
      <c r="E82" s="239"/>
      <c r="F82" s="78"/>
      <c r="G82" s="79">
        <f t="shared" si="0"/>
        <v>22431.6</v>
      </c>
    </row>
    <row r="83" customHeight="1" spans="3:14">
      <c r="C83" s="238"/>
      <c r="D83" s="75"/>
      <c r="E83" s="239"/>
      <c r="F83" s="78"/>
      <c r="G83" s="79">
        <f t="shared" si="0"/>
        <v>22431.6</v>
      </c>
      <c r="H83" s="79"/>
      <c r="I83" s="77"/>
      <c r="J83" s="77"/>
      <c r="K83" s="77"/>
      <c r="L83" s="77"/>
      <c r="N83" s="77"/>
    </row>
    <row r="84" customHeight="1" spans="3:7">
      <c r="C84" s="238"/>
      <c r="D84" s="75"/>
      <c r="E84" s="239"/>
      <c r="F84" s="78"/>
      <c r="G84" s="79">
        <f t="shared" si="0"/>
        <v>22431.6</v>
      </c>
    </row>
    <row r="85" customHeight="1" spans="3:14">
      <c r="C85" s="238"/>
      <c r="D85" s="75"/>
      <c r="E85" s="239"/>
      <c r="F85" s="78"/>
      <c r="G85" s="79">
        <f t="shared" si="0"/>
        <v>22431.6</v>
      </c>
      <c r="H85" s="79"/>
      <c r="I85" s="77"/>
      <c r="J85" s="77"/>
      <c r="K85" s="77"/>
      <c r="L85" s="77"/>
      <c r="M85" s="77"/>
      <c r="N85" s="77"/>
    </row>
    <row r="86" customHeight="1" spans="3:7">
      <c r="C86" s="238"/>
      <c r="D86" s="75"/>
      <c r="E86" s="239"/>
      <c r="F86" s="78"/>
      <c r="G86" s="79">
        <f t="shared" si="0"/>
        <v>22431.6</v>
      </c>
    </row>
    <row r="87" customHeight="1" spans="3:7">
      <c r="C87" s="238"/>
      <c r="D87" s="75"/>
      <c r="E87" s="239"/>
      <c r="F87" s="78"/>
      <c r="G87" s="79">
        <f t="shared" si="0"/>
        <v>22431.6</v>
      </c>
    </row>
    <row r="88" customHeight="1" spans="3:7">
      <c r="C88" s="238"/>
      <c r="D88" s="75"/>
      <c r="E88" s="239"/>
      <c r="F88" s="78"/>
      <c r="G88" s="79">
        <f t="shared" si="0"/>
        <v>22431.6</v>
      </c>
    </row>
    <row r="89" customHeight="1" spans="3:7">
      <c r="C89" s="238"/>
      <c r="D89" s="75"/>
      <c r="E89" s="239"/>
      <c r="F89" s="78"/>
      <c r="G89" s="79">
        <f t="shared" si="0"/>
        <v>22431.6</v>
      </c>
    </row>
    <row r="90" customHeight="1" spans="3:7">
      <c r="C90" s="238"/>
      <c r="D90" s="75"/>
      <c r="E90" s="239"/>
      <c r="F90" s="78"/>
      <c r="G90" s="79">
        <f t="shared" si="0"/>
        <v>22431.6</v>
      </c>
    </row>
    <row r="91" customHeight="1" spans="3:7">
      <c r="C91" s="238"/>
      <c r="D91" s="75"/>
      <c r="E91" s="239"/>
      <c r="F91" s="78"/>
      <c r="G91" s="79">
        <f t="shared" si="0"/>
        <v>22431.6</v>
      </c>
    </row>
    <row r="92" customHeight="1" spans="3:7">
      <c r="C92" s="238"/>
      <c r="D92" s="75"/>
      <c r="E92" s="239"/>
      <c r="F92" s="78"/>
      <c r="G92" s="79">
        <f t="shared" si="0"/>
        <v>22431.6</v>
      </c>
    </row>
    <row r="93" customHeight="1" spans="3:14">
      <c r="C93" s="238"/>
      <c r="D93" s="75"/>
      <c r="E93" s="239"/>
      <c r="F93" s="78"/>
      <c r="G93" s="79">
        <f t="shared" si="0"/>
        <v>22431.6</v>
      </c>
      <c r="H93" s="79"/>
      <c r="I93" s="77"/>
      <c r="J93" s="77"/>
      <c r="K93" s="77"/>
      <c r="L93" s="77"/>
      <c r="N93" s="77"/>
    </row>
    <row r="94" customHeight="1" spans="3:14">
      <c r="C94" s="238"/>
      <c r="D94" s="75"/>
      <c r="E94" s="239"/>
      <c r="F94" s="78"/>
      <c r="G94" s="79">
        <f t="shared" si="0"/>
        <v>22431.6</v>
      </c>
      <c r="H94" s="79"/>
      <c r="I94" s="77"/>
      <c r="J94" s="77"/>
      <c r="K94" s="77"/>
      <c r="L94" s="77"/>
      <c r="N94" s="77"/>
    </row>
    <row r="95" customHeight="1" spans="3:7">
      <c r="C95" s="238"/>
      <c r="D95" s="75"/>
      <c r="E95" s="239"/>
      <c r="F95" s="78"/>
      <c r="G95" s="79">
        <f t="shared" si="0"/>
        <v>22431.6</v>
      </c>
    </row>
    <row r="96" customHeight="1" spans="3:7">
      <c r="C96" s="238"/>
      <c r="D96" s="75"/>
      <c r="E96" s="239"/>
      <c r="F96" s="78"/>
      <c r="G96" s="79">
        <f t="shared" si="0"/>
        <v>22431.6</v>
      </c>
    </row>
    <row r="97" customHeight="1" spans="3:14">
      <c r="C97" s="238"/>
      <c r="D97" s="75"/>
      <c r="E97" s="239"/>
      <c r="F97" s="78"/>
      <c r="G97" s="79">
        <f t="shared" si="0"/>
        <v>22431.6</v>
      </c>
      <c r="H97" s="79"/>
      <c r="I97" s="77"/>
      <c r="J97" s="77"/>
      <c r="K97" s="77"/>
      <c r="L97" s="77"/>
      <c r="N97" s="77"/>
    </row>
    <row r="98" customHeight="1" spans="3:7">
      <c r="C98" s="238"/>
      <c r="D98" s="75"/>
      <c r="E98" s="239"/>
      <c r="F98" s="78"/>
      <c r="G98" s="79">
        <f t="shared" si="0"/>
        <v>22431.6</v>
      </c>
    </row>
    <row r="99" customHeight="1" spans="3:7">
      <c r="C99" s="238"/>
      <c r="D99" s="75"/>
      <c r="E99" s="239"/>
      <c r="F99" s="78"/>
      <c r="G99" s="79">
        <f t="shared" si="0"/>
        <v>22431.6</v>
      </c>
    </row>
    <row r="100" customHeight="1" spans="3:7">
      <c r="C100" s="238"/>
      <c r="D100" s="75"/>
      <c r="E100" s="239"/>
      <c r="F100" s="78"/>
      <c r="G100" s="79">
        <f t="shared" si="0"/>
        <v>22431.6</v>
      </c>
    </row>
    <row r="101" customHeight="1" spans="3:7">
      <c r="C101" s="238"/>
      <c r="D101" s="75"/>
      <c r="E101" s="239"/>
      <c r="F101" s="78"/>
      <c r="G101" s="79">
        <f t="shared" si="0"/>
        <v>22431.6</v>
      </c>
    </row>
    <row r="102" customHeight="1" spans="3:7">
      <c r="C102" s="238"/>
      <c r="D102" s="75"/>
      <c r="E102" s="239"/>
      <c r="F102" s="78"/>
      <c r="G102" s="79">
        <f t="shared" si="0"/>
        <v>22431.6</v>
      </c>
    </row>
    <row r="103" customHeight="1" spans="3:14">
      <c r="C103" s="238"/>
      <c r="D103" s="75"/>
      <c r="E103" s="239"/>
      <c r="F103" s="78"/>
      <c r="G103" s="79">
        <f t="shared" si="0"/>
        <v>22431.6</v>
      </c>
      <c r="H103" s="79"/>
      <c r="I103" s="77"/>
      <c r="J103" s="77"/>
      <c r="K103" s="77"/>
      <c r="L103" s="77"/>
      <c r="N103" s="77"/>
    </row>
    <row r="104" customHeight="1" spans="3:7">
      <c r="C104" s="238"/>
      <c r="D104" s="75"/>
      <c r="E104" s="239"/>
      <c r="F104" s="78"/>
      <c r="G104" s="79">
        <f t="shared" si="0"/>
        <v>22431.6</v>
      </c>
    </row>
    <row r="105" customHeight="1" spans="3:7">
      <c r="C105" s="238"/>
      <c r="D105" s="75"/>
      <c r="E105" s="239"/>
      <c r="F105" s="78"/>
      <c r="G105" s="79">
        <f t="shared" si="0"/>
        <v>22431.6</v>
      </c>
    </row>
    <row r="106" customHeight="1" spans="3:7">
      <c r="C106" s="238"/>
      <c r="D106" s="75"/>
      <c r="E106" s="239"/>
      <c r="F106" s="78"/>
      <c r="G106" s="79">
        <f t="shared" si="0"/>
        <v>22431.6</v>
      </c>
    </row>
    <row r="107" customHeight="1" spans="3:7">
      <c r="C107" s="238"/>
      <c r="D107" s="75"/>
      <c r="E107" s="239"/>
      <c r="F107" s="78"/>
      <c r="G107" s="79">
        <f t="shared" si="0"/>
        <v>22431.6</v>
      </c>
    </row>
    <row r="108" customHeight="1" spans="3:7">
      <c r="C108" s="238"/>
      <c r="D108" s="75"/>
      <c r="E108" s="239"/>
      <c r="F108" s="78"/>
      <c r="G108" s="79">
        <f t="shared" si="0"/>
        <v>22431.6</v>
      </c>
    </row>
    <row r="109" customHeight="1" spans="3:7">
      <c r="C109" s="238"/>
      <c r="D109" s="75"/>
      <c r="E109" s="239"/>
      <c r="F109" s="78"/>
      <c r="G109" s="79">
        <f t="shared" si="0"/>
        <v>22431.6</v>
      </c>
    </row>
    <row r="110" customHeight="1" spans="3:7">
      <c r="C110" s="238"/>
      <c r="D110" s="75"/>
      <c r="E110" s="239"/>
      <c r="F110" s="78"/>
      <c r="G110" s="79">
        <f t="shared" si="0"/>
        <v>22431.6</v>
      </c>
    </row>
    <row r="111" customHeight="1" spans="3:7">
      <c r="C111" s="238"/>
      <c r="D111" s="75"/>
      <c r="E111" s="239"/>
      <c r="F111" s="78"/>
      <c r="G111" s="79">
        <f t="shared" si="0"/>
        <v>22431.6</v>
      </c>
    </row>
    <row r="112" customHeight="1" spans="3:7">
      <c r="C112" s="238"/>
      <c r="D112" s="75"/>
      <c r="E112" s="239"/>
      <c r="F112" s="78"/>
      <c r="G112" s="79">
        <f t="shared" si="0"/>
        <v>22431.6</v>
      </c>
    </row>
    <row r="113" customHeight="1" spans="3:7">
      <c r="C113" s="238"/>
      <c r="D113" s="75"/>
      <c r="E113" s="239"/>
      <c r="F113" s="78"/>
      <c r="G113" s="79">
        <f t="shared" si="0"/>
        <v>22431.6</v>
      </c>
    </row>
    <row r="114" customHeight="1" spans="3:7">
      <c r="C114" s="238"/>
      <c r="D114" s="75"/>
      <c r="E114" s="239"/>
      <c r="F114" s="78"/>
      <c r="G114" s="79">
        <f t="shared" si="0"/>
        <v>22431.6</v>
      </c>
    </row>
    <row r="115" customHeight="1" spans="3:7">
      <c r="C115" s="238"/>
      <c r="D115" s="75"/>
      <c r="E115" s="239"/>
      <c r="F115" s="78"/>
      <c r="G115" s="79">
        <f t="shared" si="0"/>
        <v>22431.6</v>
      </c>
    </row>
    <row r="116" customHeight="1" spans="3:7">
      <c r="C116" s="238"/>
      <c r="D116" s="75"/>
      <c r="E116" s="239"/>
      <c r="F116" s="78"/>
      <c r="G116" s="79">
        <f t="shared" si="0"/>
        <v>22431.6</v>
      </c>
    </row>
    <row r="117" customHeight="1" spans="3:7">
      <c r="C117" s="238"/>
      <c r="D117" s="75"/>
      <c r="E117" s="239"/>
      <c r="F117" s="78"/>
      <c r="G117" s="79">
        <f t="shared" si="0"/>
        <v>22431.6</v>
      </c>
    </row>
    <row r="118" customHeight="1" spans="3:7">
      <c r="C118" s="238"/>
      <c r="D118" s="75"/>
      <c r="E118" s="239"/>
      <c r="F118" s="78"/>
      <c r="G118" s="79">
        <f t="shared" si="0"/>
        <v>22431.6</v>
      </c>
    </row>
    <row r="119" customHeight="1" spans="3:7">
      <c r="C119" s="238"/>
      <c r="D119" s="75"/>
      <c r="E119" s="239"/>
      <c r="F119" s="78"/>
      <c r="G119" s="79">
        <f t="shared" si="0"/>
        <v>22431.6</v>
      </c>
    </row>
    <row r="120" customHeight="1" spans="3:7">
      <c r="C120" s="238"/>
      <c r="D120" s="75"/>
      <c r="E120" s="239"/>
      <c r="F120" s="78"/>
      <c r="G120" s="79">
        <f t="shared" si="0"/>
        <v>22431.6</v>
      </c>
    </row>
    <row r="121" customHeight="1" spans="3:7">
      <c r="C121" s="238"/>
      <c r="D121" s="75"/>
      <c r="E121" s="239"/>
      <c r="F121" s="78"/>
      <c r="G121" s="79">
        <f t="shared" si="0"/>
        <v>22431.6</v>
      </c>
    </row>
    <row r="122" customHeight="1" spans="3:7">
      <c r="C122" s="238"/>
      <c r="D122" s="75"/>
      <c r="E122" s="239"/>
      <c r="F122" s="78"/>
      <c r="G122" s="79">
        <f t="shared" si="0"/>
        <v>22431.6</v>
      </c>
    </row>
    <row r="123" customHeight="1" spans="3:7">
      <c r="C123" s="238"/>
      <c r="D123" s="75"/>
      <c r="E123" s="239"/>
      <c r="F123" s="78"/>
      <c r="G123" s="79">
        <f t="shared" si="0"/>
        <v>22431.6</v>
      </c>
    </row>
    <row r="124" customHeight="1" spans="3:7">
      <c r="C124" s="238"/>
      <c r="D124" s="75"/>
      <c r="E124" s="239"/>
      <c r="F124" s="78"/>
      <c r="G124" s="79">
        <f t="shared" si="0"/>
        <v>22431.6</v>
      </c>
    </row>
    <row r="125" customHeight="1" spans="3:7">
      <c r="C125" s="238"/>
      <c r="D125" s="75"/>
      <c r="E125" s="239"/>
      <c r="F125" s="78"/>
      <c r="G125" s="79">
        <f t="shared" si="0"/>
        <v>22431.6</v>
      </c>
    </row>
    <row r="126" customHeight="1" spans="3:7">
      <c r="C126" s="238"/>
      <c r="D126" s="75"/>
      <c r="E126" s="239"/>
      <c r="F126" s="78"/>
      <c r="G126" s="79">
        <f t="shared" si="0"/>
        <v>22431.6</v>
      </c>
    </row>
    <row r="127" customHeight="1" spans="3:7">
      <c r="C127" s="238"/>
      <c r="D127" s="75"/>
      <c r="E127" s="239"/>
      <c r="F127" s="78"/>
      <c r="G127" s="79">
        <f t="shared" si="0"/>
        <v>22431.6</v>
      </c>
    </row>
    <row r="128" customHeight="1" spans="3:7">
      <c r="C128" s="238"/>
      <c r="D128" s="75"/>
      <c r="E128" s="239"/>
      <c r="F128" s="78"/>
      <c r="G128" s="79">
        <f t="shared" si="0"/>
        <v>22431.6</v>
      </c>
    </row>
    <row r="129" customHeight="1" spans="3:7">
      <c r="C129" s="238"/>
      <c r="D129" s="75"/>
      <c r="E129" s="239"/>
      <c r="F129" s="78"/>
      <c r="G129" s="79">
        <f t="shared" si="0"/>
        <v>22431.6</v>
      </c>
    </row>
    <row r="130" customHeight="1" spans="3:7">
      <c r="C130" s="238"/>
      <c r="D130" s="75"/>
      <c r="E130" s="239"/>
      <c r="F130" s="78"/>
      <c r="G130" s="79">
        <f t="shared" si="0"/>
        <v>22431.6</v>
      </c>
    </row>
    <row r="131" customHeight="1" spans="3:7">
      <c r="C131" s="238"/>
      <c r="D131" s="75"/>
      <c r="E131" s="239"/>
      <c r="F131" s="78"/>
      <c r="G131" s="79">
        <f t="shared" si="0"/>
        <v>22431.6</v>
      </c>
    </row>
    <row r="132" customHeight="1" spans="3:7">
      <c r="C132" s="238"/>
      <c r="D132" s="75"/>
      <c r="E132" s="239"/>
      <c r="F132" s="78"/>
      <c r="G132" s="79">
        <f t="shared" si="0"/>
        <v>22431.6</v>
      </c>
    </row>
    <row r="133" customHeight="1" spans="3:7">
      <c r="C133" s="238"/>
      <c r="D133" s="75"/>
      <c r="E133" s="239"/>
      <c r="F133" s="78"/>
      <c r="G133" s="79">
        <f t="shared" si="0"/>
        <v>22431.6</v>
      </c>
    </row>
    <row r="134" customHeight="1" spans="3:7">
      <c r="C134" s="238"/>
      <c r="D134" s="75"/>
      <c r="E134" s="239"/>
      <c r="F134" s="78"/>
      <c r="G134" s="79">
        <f t="shared" si="0"/>
        <v>22431.6</v>
      </c>
    </row>
    <row r="135" customHeight="1" spans="3:7">
      <c r="C135" s="238"/>
      <c r="D135" s="75"/>
      <c r="E135" s="239"/>
      <c r="F135" s="78"/>
      <c r="G135" s="79">
        <f t="shared" si="0"/>
        <v>22431.6</v>
      </c>
    </row>
    <row r="136" customHeight="1" spans="3:7">
      <c r="C136" s="238"/>
      <c r="D136" s="75"/>
      <c r="E136" s="239"/>
      <c r="F136" s="78"/>
      <c r="G136" s="79">
        <f t="shared" si="0"/>
        <v>22431.6</v>
      </c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K1:K2"/>
    <mergeCell ref="L1:L2"/>
    <mergeCell ref="M1:M2"/>
    <mergeCell ref="N1:N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8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5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206</v>
      </c>
      <c r="K1" s="4" t="s">
        <v>9</v>
      </c>
      <c r="L1" s="4" t="s">
        <v>10</v>
      </c>
      <c r="M1" s="4" t="s">
        <v>11</v>
      </c>
      <c r="N1" s="32" t="s">
        <v>12</v>
      </c>
      <c r="O1" s="33"/>
    </row>
    <row r="2" customHeight="1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46" t="s">
        <v>194</v>
      </c>
      <c r="O2" s="146" t="s">
        <v>207</v>
      </c>
    </row>
    <row r="3" customHeight="1" spans="1:15">
      <c r="A3" s="164" t="s">
        <v>208</v>
      </c>
      <c r="B3" s="164"/>
      <c r="C3" s="213" t="s">
        <v>6</v>
      </c>
      <c r="D3" s="77"/>
      <c r="E3" s="76">
        <v>140916.18</v>
      </c>
      <c r="F3" s="78"/>
      <c r="G3" s="79">
        <f>E3-F3</f>
        <v>140916.18</v>
      </c>
      <c r="H3" s="172">
        <f>I3+J3+K3+L3+M3+N3+O3</f>
        <v>90181.18</v>
      </c>
      <c r="I3" s="105">
        <v>0</v>
      </c>
      <c r="J3" s="105">
        <v>84502.93</v>
      </c>
      <c r="K3" s="105">
        <v>2000</v>
      </c>
      <c r="L3" s="105">
        <v>0</v>
      </c>
      <c r="M3" s="105">
        <f>8890.25-7000</f>
        <v>1890.25</v>
      </c>
      <c r="N3" s="105">
        <v>1500</v>
      </c>
      <c r="O3" s="105">
        <v>288</v>
      </c>
    </row>
    <row r="4" customHeight="1" spans="1:15">
      <c r="A4" s="164"/>
      <c r="B4" s="164"/>
      <c r="C4" s="213" t="s">
        <v>209</v>
      </c>
      <c r="D4" s="77" t="s">
        <v>210</v>
      </c>
      <c r="E4" s="76"/>
      <c r="F4" s="78">
        <v>530</v>
      </c>
      <c r="G4" s="79">
        <f t="shared" ref="G4:G114" si="0">(E4-F4)+G3</f>
        <v>140386.18</v>
      </c>
      <c r="H4" s="79">
        <f>E3-H3</f>
        <v>50735</v>
      </c>
      <c r="I4" s="77"/>
      <c r="J4" s="77"/>
      <c r="K4" s="77"/>
      <c r="L4" s="77"/>
      <c r="M4" s="77"/>
      <c r="N4" s="77"/>
      <c r="O4" s="77"/>
    </row>
    <row r="5" customHeight="1" spans="1:15">
      <c r="A5" s="190" t="s">
        <v>211</v>
      </c>
      <c r="B5" s="190"/>
      <c r="C5" s="230" t="s">
        <v>212</v>
      </c>
      <c r="D5" s="20"/>
      <c r="E5" s="9">
        <v>7000</v>
      </c>
      <c r="F5" s="10"/>
      <c r="G5" s="79">
        <f t="shared" si="0"/>
        <v>147386.18</v>
      </c>
      <c r="H5" s="20"/>
      <c r="I5" s="20"/>
      <c r="J5" s="20"/>
      <c r="K5" s="20"/>
      <c r="L5" s="20"/>
      <c r="M5" s="20"/>
      <c r="N5" s="20"/>
      <c r="O5" s="20"/>
    </row>
    <row r="6" customHeight="1" spans="1:15">
      <c r="A6" s="180"/>
      <c r="B6" s="180"/>
      <c r="C6" s="215" t="s">
        <v>213</v>
      </c>
      <c r="D6" s="168" t="s">
        <v>214</v>
      </c>
      <c r="E6" s="18"/>
      <c r="F6" s="19">
        <v>15000</v>
      </c>
      <c r="G6" s="79">
        <f t="shared" si="0"/>
        <v>132386.18</v>
      </c>
      <c r="H6" s="20"/>
      <c r="I6" s="20"/>
      <c r="J6" s="20"/>
      <c r="K6" s="20"/>
      <c r="L6" s="20"/>
      <c r="M6" s="20"/>
      <c r="N6" s="20"/>
      <c r="O6" s="20"/>
    </row>
    <row r="7" customHeight="1" spans="1:15">
      <c r="A7" s="190"/>
      <c r="B7" s="190"/>
      <c r="C7" s="230" t="s">
        <v>33</v>
      </c>
      <c r="D7" s="20" t="s">
        <v>201</v>
      </c>
      <c r="E7" s="9"/>
      <c r="F7" s="10">
        <v>100</v>
      </c>
      <c r="G7" s="79">
        <f t="shared" si="0"/>
        <v>132286.18</v>
      </c>
      <c r="H7" s="20"/>
      <c r="I7" s="20"/>
      <c r="J7" s="20"/>
      <c r="K7" s="20"/>
      <c r="L7" s="20"/>
      <c r="M7" s="20"/>
      <c r="N7" s="20"/>
      <c r="O7" s="20"/>
    </row>
    <row r="8" customHeight="1" spans="1:15">
      <c r="A8" s="190"/>
      <c r="B8" s="190"/>
      <c r="C8" s="230" t="s">
        <v>215</v>
      </c>
      <c r="D8" s="20" t="s">
        <v>27</v>
      </c>
      <c r="E8" s="9"/>
      <c r="F8" s="10">
        <v>85</v>
      </c>
      <c r="G8" s="79">
        <f t="shared" si="0"/>
        <v>132201.18</v>
      </c>
      <c r="H8" s="20"/>
      <c r="I8" s="20"/>
      <c r="J8" s="20"/>
      <c r="K8" s="20"/>
      <c r="L8" s="20"/>
      <c r="M8" s="20"/>
      <c r="N8" s="20"/>
      <c r="O8" s="20"/>
    </row>
    <row r="9" customHeight="1" spans="1:15">
      <c r="A9" s="190" t="s">
        <v>216</v>
      </c>
      <c r="B9" s="190"/>
      <c r="C9" s="230" t="s">
        <v>217</v>
      </c>
      <c r="D9" s="20"/>
      <c r="E9" s="9"/>
      <c r="F9" s="10">
        <v>200</v>
      </c>
      <c r="G9" s="79">
        <f t="shared" si="0"/>
        <v>132001.18</v>
      </c>
      <c r="H9" s="20">
        <f>H12-70000</f>
        <v>81549.18</v>
      </c>
      <c r="I9" s="20"/>
      <c r="J9" s="20"/>
      <c r="K9" s="20"/>
      <c r="L9" s="20"/>
      <c r="M9" s="20"/>
      <c r="N9" s="20"/>
      <c r="O9" s="20"/>
    </row>
    <row r="10" customHeight="1" spans="1:15">
      <c r="A10" s="180"/>
      <c r="B10" s="180"/>
      <c r="C10" s="215" t="s">
        <v>17</v>
      </c>
      <c r="D10" s="168" t="s">
        <v>86</v>
      </c>
      <c r="E10" s="18"/>
      <c r="F10" s="19">
        <v>353</v>
      </c>
      <c r="G10" s="79">
        <f t="shared" si="0"/>
        <v>131648.18</v>
      </c>
      <c r="H10" s="172"/>
      <c r="I10" s="105"/>
      <c r="J10" s="105"/>
      <c r="K10" s="105"/>
      <c r="L10" s="105"/>
      <c r="M10" s="105"/>
      <c r="N10" s="105"/>
      <c r="O10" s="105"/>
    </row>
    <row r="11" customHeight="1" spans="1:15">
      <c r="A11" s="180"/>
      <c r="B11" s="180"/>
      <c r="C11" s="215" t="s">
        <v>218</v>
      </c>
      <c r="D11" s="168" t="s">
        <v>219</v>
      </c>
      <c r="E11" s="18"/>
      <c r="F11" s="19"/>
      <c r="G11" s="79">
        <f t="shared" si="0"/>
        <v>131648.18</v>
      </c>
      <c r="H11" s="172"/>
      <c r="I11" s="105"/>
      <c r="J11" s="105"/>
      <c r="K11" s="105"/>
      <c r="L11" s="105"/>
      <c r="M11" s="105">
        <f>M3+50000+7000</f>
        <v>58890.25</v>
      </c>
      <c r="N11" s="105"/>
      <c r="O11" s="105"/>
    </row>
    <row r="12" customHeight="1" spans="1:15">
      <c r="A12" s="190"/>
      <c r="B12" s="190"/>
      <c r="C12" s="230" t="s">
        <v>106</v>
      </c>
      <c r="D12" s="20" t="s">
        <v>27</v>
      </c>
      <c r="E12" s="9"/>
      <c r="F12" s="10">
        <v>76</v>
      </c>
      <c r="G12" s="79">
        <f t="shared" si="0"/>
        <v>131572.18</v>
      </c>
      <c r="H12" s="172">
        <f>I12+J12+K12+L12+M12+N12+O12</f>
        <v>151549.18</v>
      </c>
      <c r="I12" s="105">
        <v>0</v>
      </c>
      <c r="J12" s="105">
        <v>84502.93</v>
      </c>
      <c r="K12" s="105">
        <v>2000</v>
      </c>
      <c r="L12" s="105">
        <v>0</v>
      </c>
      <c r="M12" s="105">
        <f>60438.25</f>
        <v>60438.25</v>
      </c>
      <c r="N12" s="105">
        <f>3000+1500</f>
        <v>4500</v>
      </c>
      <c r="O12" s="105">
        <f>70+30+8</f>
        <v>108</v>
      </c>
    </row>
    <row r="13" customHeight="1" spans="1:15">
      <c r="A13" s="198" t="s">
        <v>220</v>
      </c>
      <c r="B13" s="198"/>
      <c r="C13" s="231" t="s">
        <v>221</v>
      </c>
      <c r="D13" s="38" t="s">
        <v>214</v>
      </c>
      <c r="E13" s="25"/>
      <c r="F13" s="26">
        <v>376</v>
      </c>
      <c r="G13" s="79">
        <f t="shared" si="0"/>
        <v>131196.18</v>
      </c>
      <c r="H13" s="28"/>
      <c r="I13" s="38"/>
      <c r="J13" s="38"/>
      <c r="K13" s="38"/>
      <c r="L13" s="38"/>
      <c r="M13" s="38"/>
      <c r="N13" s="38"/>
      <c r="O13" s="38"/>
    </row>
    <row r="14" customHeight="1" spans="1:15">
      <c r="A14" s="180"/>
      <c r="B14" s="180"/>
      <c r="C14" s="215" t="s">
        <v>222</v>
      </c>
      <c r="D14" s="168" t="s">
        <v>214</v>
      </c>
      <c r="E14" s="18"/>
      <c r="F14" s="19">
        <v>966.79</v>
      </c>
      <c r="G14" s="79">
        <f t="shared" si="0"/>
        <v>130229.39</v>
      </c>
      <c r="H14" s="20"/>
      <c r="I14" s="20"/>
      <c r="J14" s="20"/>
      <c r="K14" s="20"/>
      <c r="L14" s="20"/>
      <c r="M14" s="20"/>
      <c r="N14" s="20"/>
      <c r="O14" s="20"/>
    </row>
    <row r="15" customHeight="1" spans="1:15">
      <c r="A15" s="190"/>
      <c r="B15" s="190"/>
      <c r="C15" s="230" t="s">
        <v>223</v>
      </c>
      <c r="D15" s="20" t="s">
        <v>224</v>
      </c>
      <c r="E15" s="9"/>
      <c r="F15" s="10">
        <v>60</v>
      </c>
      <c r="G15" s="79">
        <f t="shared" si="0"/>
        <v>130169.39</v>
      </c>
      <c r="H15" s="20"/>
      <c r="I15" s="20"/>
      <c r="J15" s="20"/>
      <c r="K15" s="20"/>
      <c r="L15" s="20"/>
      <c r="M15" s="20"/>
      <c r="N15" s="20"/>
      <c r="O15" s="20"/>
    </row>
    <row r="16" customHeight="1" spans="1:15">
      <c r="A16" s="190"/>
      <c r="B16" s="190"/>
      <c r="C16" s="230" t="s">
        <v>33</v>
      </c>
      <c r="D16" s="20" t="s">
        <v>201</v>
      </c>
      <c r="E16" s="9"/>
      <c r="F16" s="10">
        <v>100</v>
      </c>
      <c r="G16" s="79">
        <f t="shared" si="0"/>
        <v>130069.39</v>
      </c>
      <c r="H16" s="20"/>
      <c r="I16" s="20"/>
      <c r="J16" s="20"/>
      <c r="K16" s="20"/>
      <c r="L16" s="20"/>
      <c r="M16" s="20"/>
      <c r="N16" s="20"/>
      <c r="O16" s="20"/>
    </row>
    <row r="17" customHeight="1" spans="1:7">
      <c r="A17" s="190"/>
      <c r="B17" s="190"/>
      <c r="C17" s="230" t="s">
        <v>30</v>
      </c>
      <c r="D17" s="20" t="s">
        <v>27</v>
      </c>
      <c r="E17" s="9"/>
      <c r="F17" s="10">
        <v>50</v>
      </c>
      <c r="G17" s="79">
        <f t="shared" si="0"/>
        <v>130019.39</v>
      </c>
    </row>
    <row r="18" customHeight="1" spans="1:7">
      <c r="A18" s="190" t="s">
        <v>225</v>
      </c>
      <c r="B18" s="190"/>
      <c r="C18" s="230" t="s">
        <v>77</v>
      </c>
      <c r="D18" s="20"/>
      <c r="E18" s="9"/>
      <c r="F18" s="10">
        <f>14101-425</f>
        <v>13676</v>
      </c>
      <c r="G18" s="79">
        <f t="shared" si="0"/>
        <v>116343.39</v>
      </c>
    </row>
    <row r="19" customHeight="1" spans="1:15">
      <c r="A19" s="190"/>
      <c r="B19" s="190"/>
      <c r="C19" s="230" t="s">
        <v>74</v>
      </c>
      <c r="D19" s="20"/>
      <c r="E19" s="9">
        <v>35079</v>
      </c>
      <c r="F19" s="10"/>
      <c r="G19" s="79">
        <f t="shared" si="0"/>
        <v>151422.39</v>
      </c>
      <c r="H19" s="20"/>
      <c r="I19" s="20"/>
      <c r="J19" s="20"/>
      <c r="K19" s="20"/>
      <c r="L19" s="20"/>
      <c r="M19" s="20"/>
      <c r="N19" s="20"/>
      <c r="O19" s="20"/>
    </row>
    <row r="20" customHeight="1" spans="1:15">
      <c r="A20" s="200"/>
      <c r="B20" s="12"/>
      <c r="C20" s="230" t="s">
        <v>226</v>
      </c>
      <c r="D20" s="20" t="s">
        <v>219</v>
      </c>
      <c r="E20" s="9"/>
      <c r="F20" s="10">
        <v>691.22</v>
      </c>
      <c r="G20" s="79">
        <f t="shared" si="0"/>
        <v>150731.17</v>
      </c>
      <c r="H20" s="20"/>
      <c r="I20" s="20"/>
      <c r="J20" s="20"/>
      <c r="K20" s="20"/>
      <c r="L20" s="20"/>
      <c r="M20" s="20"/>
      <c r="N20" s="20"/>
      <c r="O20" s="20"/>
    </row>
    <row r="21" customHeight="1" spans="1:15">
      <c r="A21" s="190"/>
      <c r="B21" s="190"/>
      <c r="C21" s="230" t="s">
        <v>227</v>
      </c>
      <c r="D21" s="20" t="s">
        <v>27</v>
      </c>
      <c r="E21" s="9"/>
      <c r="F21" s="10">
        <v>1390</v>
      </c>
      <c r="G21" s="79">
        <f t="shared" si="0"/>
        <v>149341.17</v>
      </c>
      <c r="H21" s="20">
        <f>H22-70000</f>
        <v>100328.36</v>
      </c>
      <c r="I21" s="20"/>
      <c r="J21" s="20"/>
      <c r="K21" s="20"/>
      <c r="L21" s="20"/>
      <c r="M21" s="20"/>
      <c r="N21" s="20"/>
      <c r="O21" s="20"/>
    </row>
    <row r="22" customHeight="1" spans="1:15">
      <c r="A22" s="190"/>
      <c r="B22" s="190"/>
      <c r="C22" s="230" t="s">
        <v>228</v>
      </c>
      <c r="D22" s="20" t="s">
        <v>27</v>
      </c>
      <c r="E22" s="9"/>
      <c r="F22" s="10">
        <v>332.6</v>
      </c>
      <c r="G22" s="79">
        <f t="shared" si="0"/>
        <v>149008.57</v>
      </c>
      <c r="H22" s="172">
        <f>I22+J22+K22+L22+M22+N22+O22</f>
        <v>170328.36</v>
      </c>
      <c r="I22" s="105">
        <v>0</v>
      </c>
      <c r="J22" s="105">
        <v>84502.93</v>
      </c>
      <c r="K22" s="105">
        <v>2000</v>
      </c>
      <c r="L22" s="105">
        <v>0</v>
      </c>
      <c r="M22" s="105">
        <v>79267.43</v>
      </c>
      <c r="N22" s="105">
        <f>3000+1500</f>
        <v>4500</v>
      </c>
      <c r="O22" s="105">
        <f>20+30+8</f>
        <v>58</v>
      </c>
    </row>
    <row r="23" customHeight="1" spans="1:15">
      <c r="A23" s="198" t="s">
        <v>229</v>
      </c>
      <c r="B23" s="198"/>
      <c r="C23" s="231" t="s">
        <v>230</v>
      </c>
      <c r="D23" s="38" t="s">
        <v>219</v>
      </c>
      <c r="E23" s="25"/>
      <c r="F23" s="26">
        <v>5000</v>
      </c>
      <c r="G23" s="79">
        <f t="shared" si="0"/>
        <v>144008.57</v>
      </c>
      <c r="H23" s="38"/>
      <c r="I23" s="38"/>
      <c r="J23" s="38"/>
      <c r="K23" s="38"/>
      <c r="L23" s="38"/>
      <c r="M23" s="148"/>
      <c r="N23" s="38"/>
      <c r="O23" s="38"/>
    </row>
    <row r="24" customHeight="1" spans="1:15">
      <c r="A24" s="180" t="s">
        <v>229</v>
      </c>
      <c r="B24" s="180"/>
      <c r="C24" s="215" t="s">
        <v>17</v>
      </c>
      <c r="D24" s="168" t="s">
        <v>86</v>
      </c>
      <c r="E24" s="18"/>
      <c r="F24" s="19">
        <v>457</v>
      </c>
      <c r="G24" s="79">
        <f t="shared" si="0"/>
        <v>143551.57</v>
      </c>
      <c r="H24" s="12"/>
      <c r="I24" s="12"/>
      <c r="J24" s="12"/>
      <c r="K24" s="12"/>
      <c r="L24" s="12"/>
      <c r="M24" s="12"/>
      <c r="N24" s="12"/>
      <c r="O24" s="12"/>
    </row>
    <row r="25" customHeight="1" spans="1:15">
      <c r="A25" s="180" t="s">
        <v>229</v>
      </c>
      <c r="B25" s="180"/>
      <c r="C25" s="215" t="s">
        <v>231</v>
      </c>
      <c r="D25" s="20"/>
      <c r="E25" s="18">
        <v>12</v>
      </c>
      <c r="F25" s="19"/>
      <c r="G25" s="79">
        <f t="shared" si="0"/>
        <v>143563.57</v>
      </c>
      <c r="H25" s="12"/>
      <c r="I25" s="12"/>
      <c r="J25" s="12"/>
      <c r="K25" s="12"/>
      <c r="L25" s="12"/>
      <c r="M25" s="12"/>
      <c r="N25" s="12"/>
      <c r="O25" s="12"/>
    </row>
    <row r="26" customHeight="1" spans="1:15">
      <c r="A26" s="180" t="s">
        <v>229</v>
      </c>
      <c r="B26" s="180"/>
      <c r="C26" s="215" t="s">
        <v>232</v>
      </c>
      <c r="D26" s="168" t="s">
        <v>27</v>
      </c>
      <c r="E26" s="18"/>
      <c r="F26" s="19">
        <v>195.92</v>
      </c>
      <c r="G26" s="79">
        <f t="shared" si="0"/>
        <v>143367.65</v>
      </c>
      <c r="H26" s="12"/>
      <c r="I26" s="12"/>
      <c r="J26" s="12"/>
      <c r="K26" s="12"/>
      <c r="L26" s="12"/>
      <c r="M26" s="12"/>
      <c r="N26" s="12"/>
      <c r="O26" s="12"/>
    </row>
    <row r="27" customHeight="1" spans="1:15">
      <c r="A27" s="180" t="s">
        <v>229</v>
      </c>
      <c r="B27" s="180"/>
      <c r="C27" s="215" t="s">
        <v>233</v>
      </c>
      <c r="D27" s="168" t="s">
        <v>214</v>
      </c>
      <c r="E27" s="18"/>
      <c r="F27" s="19">
        <v>236</v>
      </c>
      <c r="G27" s="79">
        <f t="shared" si="0"/>
        <v>143131.65</v>
      </c>
      <c r="H27" s="12"/>
      <c r="I27" s="12"/>
      <c r="J27" s="12"/>
      <c r="K27" s="12"/>
      <c r="L27" s="12"/>
      <c r="M27" s="12"/>
      <c r="N27" s="12"/>
      <c r="O27" s="12"/>
    </row>
    <row r="28" customHeight="1" spans="1:15">
      <c r="A28" s="180" t="s">
        <v>229</v>
      </c>
      <c r="B28" s="180"/>
      <c r="C28" s="215" t="s">
        <v>234</v>
      </c>
      <c r="D28" s="168" t="s">
        <v>214</v>
      </c>
      <c r="E28" s="18"/>
      <c r="F28" s="19">
        <v>859</v>
      </c>
      <c r="G28" s="79">
        <f t="shared" si="0"/>
        <v>142272.65</v>
      </c>
      <c r="H28" s="12"/>
      <c r="I28" s="12"/>
      <c r="J28" s="12"/>
      <c r="K28" s="12"/>
      <c r="L28" s="12"/>
      <c r="M28" s="12"/>
      <c r="N28" s="12"/>
      <c r="O28" s="12"/>
    </row>
    <row r="29" customHeight="1" spans="1:15">
      <c r="A29" s="190" t="s">
        <v>235</v>
      </c>
      <c r="B29" s="190"/>
      <c r="C29" s="230" t="s">
        <v>31</v>
      </c>
      <c r="D29" s="20" t="s">
        <v>27</v>
      </c>
      <c r="E29" s="9"/>
      <c r="F29" s="10">
        <v>220</v>
      </c>
      <c r="G29" s="79">
        <f t="shared" si="0"/>
        <v>142052.65</v>
      </c>
      <c r="H29" s="12"/>
      <c r="I29" s="12"/>
      <c r="J29" s="12"/>
      <c r="K29" s="12"/>
      <c r="L29" s="12"/>
      <c r="M29" s="12"/>
      <c r="N29" s="12"/>
      <c r="O29" s="12"/>
    </row>
    <row r="30" customHeight="1" spans="1:15">
      <c r="A30" s="190" t="s">
        <v>235</v>
      </c>
      <c r="B30" s="190"/>
      <c r="C30" s="230" t="s">
        <v>17</v>
      </c>
      <c r="D30" s="20" t="s">
        <v>86</v>
      </c>
      <c r="E30" s="9"/>
      <c r="F30" s="10">
        <v>370</v>
      </c>
      <c r="G30" s="79">
        <f t="shared" si="0"/>
        <v>141682.65</v>
      </c>
      <c r="H30" s="12"/>
      <c r="I30" s="12"/>
      <c r="J30" s="12"/>
      <c r="K30" s="12"/>
      <c r="L30" s="12"/>
      <c r="M30" s="12"/>
      <c r="N30" s="12"/>
      <c r="O30" s="12"/>
    </row>
    <row r="31" customHeight="1" spans="1:15">
      <c r="A31" s="190" t="s">
        <v>235</v>
      </c>
      <c r="B31" s="190"/>
      <c r="C31" s="230" t="s">
        <v>236</v>
      </c>
      <c r="D31" s="20" t="s">
        <v>214</v>
      </c>
      <c r="E31" s="9"/>
      <c r="F31" s="10">
        <v>1085</v>
      </c>
      <c r="G31" s="79">
        <f t="shared" si="0"/>
        <v>140597.65</v>
      </c>
      <c r="H31" s="142"/>
      <c r="I31" s="143"/>
      <c r="J31" s="143"/>
      <c r="K31" s="143"/>
      <c r="L31" s="143"/>
      <c r="M31" s="143"/>
      <c r="N31" s="142"/>
      <c r="O31" s="142"/>
    </row>
    <row r="32" customHeight="1" spans="1:15">
      <c r="A32" s="180" t="s">
        <v>235</v>
      </c>
      <c r="B32" s="180"/>
      <c r="C32" s="215" t="s">
        <v>237</v>
      </c>
      <c r="D32" s="168" t="s">
        <v>219</v>
      </c>
      <c r="E32" s="18"/>
      <c r="F32" s="19">
        <v>796.6</v>
      </c>
      <c r="G32" s="79">
        <f t="shared" si="0"/>
        <v>139801.05</v>
      </c>
      <c r="H32" s="20"/>
      <c r="I32" s="20"/>
      <c r="J32" s="20"/>
      <c r="K32" s="20"/>
      <c r="L32" s="20"/>
      <c r="M32" s="20"/>
      <c r="N32" s="20"/>
      <c r="O32" s="20"/>
    </row>
    <row r="33" customHeight="1" spans="1:15">
      <c r="A33" s="180" t="s">
        <v>235</v>
      </c>
      <c r="B33" s="180"/>
      <c r="C33" s="215" t="s">
        <v>238</v>
      </c>
      <c r="D33" s="168" t="s">
        <v>219</v>
      </c>
      <c r="E33" s="18"/>
      <c r="F33" s="19">
        <v>958</v>
      </c>
      <c r="G33" s="79">
        <f t="shared" si="0"/>
        <v>138843.05</v>
      </c>
      <c r="H33" s="20"/>
      <c r="I33" s="20"/>
      <c r="J33" s="20"/>
      <c r="K33" s="20"/>
      <c r="L33" s="20"/>
      <c r="M33" s="20"/>
      <c r="N33" s="20"/>
      <c r="O33" s="20"/>
    </row>
    <row r="34" customHeight="1" spans="1:15">
      <c r="A34" s="190" t="s">
        <v>235</v>
      </c>
      <c r="B34" s="190"/>
      <c r="C34" s="230" t="s">
        <v>33</v>
      </c>
      <c r="D34" s="20" t="s">
        <v>201</v>
      </c>
      <c r="E34" s="9"/>
      <c r="F34" s="10">
        <v>200</v>
      </c>
      <c r="G34" s="79">
        <f t="shared" si="0"/>
        <v>138643.05</v>
      </c>
      <c r="H34" s="20"/>
      <c r="I34" s="20"/>
      <c r="J34" s="20"/>
      <c r="K34" s="20"/>
      <c r="L34" s="20"/>
      <c r="M34" s="20"/>
      <c r="N34" s="20"/>
      <c r="O34" s="20"/>
    </row>
    <row r="35" customHeight="1" spans="1:15">
      <c r="A35" s="190" t="s">
        <v>239</v>
      </c>
      <c r="B35" s="190"/>
      <c r="C35" s="230" t="s">
        <v>81</v>
      </c>
      <c r="D35" s="20" t="s">
        <v>219</v>
      </c>
      <c r="E35" s="9"/>
      <c r="F35" s="10">
        <v>200</v>
      </c>
      <c r="G35" s="79">
        <f t="shared" si="0"/>
        <v>138443.05</v>
      </c>
      <c r="H35" s="12"/>
      <c r="I35" s="12"/>
      <c r="J35" s="12"/>
      <c r="K35" s="12"/>
      <c r="L35" s="12"/>
      <c r="M35" s="12"/>
      <c r="N35" s="12"/>
      <c r="O35" s="12"/>
    </row>
    <row r="36" customHeight="1" spans="1:15">
      <c r="A36" s="190" t="s">
        <v>239</v>
      </c>
      <c r="B36" s="190"/>
      <c r="C36" s="230" t="s">
        <v>17</v>
      </c>
      <c r="D36" s="20" t="s">
        <v>86</v>
      </c>
      <c r="E36" s="9"/>
      <c r="F36" s="10">
        <v>160</v>
      </c>
      <c r="G36" s="79">
        <f t="shared" si="0"/>
        <v>138283.05</v>
      </c>
      <c r="H36" s="12"/>
      <c r="I36" s="12"/>
      <c r="J36" s="12"/>
      <c r="K36" s="12"/>
      <c r="L36" s="12"/>
      <c r="M36" s="12"/>
      <c r="N36" s="12"/>
      <c r="O36" s="12"/>
    </row>
    <row r="37" customHeight="1" spans="1:15">
      <c r="A37" s="190" t="s">
        <v>239</v>
      </c>
      <c r="B37" s="190"/>
      <c r="C37" s="230" t="s">
        <v>17</v>
      </c>
      <c r="D37" s="20" t="s">
        <v>86</v>
      </c>
      <c r="E37" s="9"/>
      <c r="F37" s="10">
        <v>225</v>
      </c>
      <c r="G37" s="79">
        <f t="shared" si="0"/>
        <v>138058.05</v>
      </c>
      <c r="H37" s="12"/>
      <c r="I37" s="12"/>
      <c r="J37" s="12"/>
      <c r="K37" s="12"/>
      <c r="L37" s="12"/>
      <c r="M37" s="12"/>
      <c r="N37" s="12"/>
      <c r="O37" s="12"/>
    </row>
    <row r="38" customHeight="1" spans="1:15">
      <c r="A38" s="190" t="s">
        <v>235</v>
      </c>
      <c r="B38" s="190"/>
      <c r="C38" s="230" t="s">
        <v>228</v>
      </c>
      <c r="D38" s="20" t="s">
        <v>27</v>
      </c>
      <c r="E38" s="9"/>
      <c r="F38" s="10">
        <v>157.05</v>
      </c>
      <c r="G38" s="79">
        <f t="shared" si="0"/>
        <v>137901</v>
      </c>
      <c r="H38" s="12"/>
      <c r="I38" s="12"/>
      <c r="J38" s="12"/>
      <c r="K38" s="12"/>
      <c r="L38" s="12"/>
      <c r="M38" s="12"/>
      <c r="N38" s="12"/>
      <c r="O38" s="12"/>
    </row>
    <row r="39" customHeight="1" spans="1:15">
      <c r="A39" s="190" t="s">
        <v>239</v>
      </c>
      <c r="B39" s="190"/>
      <c r="C39" s="230" t="s">
        <v>240</v>
      </c>
      <c r="D39" s="20" t="s">
        <v>214</v>
      </c>
      <c r="E39" s="9"/>
      <c r="F39" s="10">
        <v>21593</v>
      </c>
      <c r="G39" s="79">
        <f t="shared" si="0"/>
        <v>116308</v>
      </c>
      <c r="H39" s="12"/>
      <c r="I39" s="12"/>
      <c r="J39" s="12"/>
      <c r="K39" s="12"/>
      <c r="L39" s="12"/>
      <c r="M39" s="12"/>
      <c r="N39" s="12"/>
      <c r="O39" s="12"/>
    </row>
    <row r="40" customHeight="1" spans="1:15">
      <c r="A40" s="190"/>
      <c r="B40" s="190"/>
      <c r="C40" s="230" t="s">
        <v>241</v>
      </c>
      <c r="D40" s="20" t="s">
        <v>214</v>
      </c>
      <c r="E40" s="9"/>
      <c r="F40" s="10">
        <v>2869.48</v>
      </c>
      <c r="G40" s="79">
        <f t="shared" si="0"/>
        <v>113438.52</v>
      </c>
      <c r="H40" s="12"/>
      <c r="I40" s="12"/>
      <c r="J40" s="12"/>
      <c r="K40" s="12"/>
      <c r="L40" s="12"/>
      <c r="M40" s="12"/>
      <c r="N40" s="12"/>
      <c r="O40" s="12"/>
    </row>
    <row r="41" customHeight="1" spans="1:15">
      <c r="A41" s="190"/>
      <c r="B41" s="190"/>
      <c r="C41" s="230" t="s">
        <v>241</v>
      </c>
      <c r="D41" s="20" t="s">
        <v>214</v>
      </c>
      <c r="E41" s="9"/>
      <c r="F41" s="10">
        <v>1857</v>
      </c>
      <c r="G41" s="79">
        <f t="shared" si="0"/>
        <v>111581.52</v>
      </c>
      <c r="H41" s="20">
        <f>H42-70000+21593</f>
        <v>87615.53</v>
      </c>
      <c r="I41" s="20"/>
      <c r="J41" s="20"/>
      <c r="K41" s="20"/>
      <c r="L41" s="20"/>
      <c r="M41" s="20"/>
      <c r="N41" s="20"/>
      <c r="O41" s="20"/>
    </row>
    <row r="42" customHeight="1" spans="1:15">
      <c r="A42" s="190"/>
      <c r="B42" s="190"/>
      <c r="C42" s="232" t="s">
        <v>83</v>
      </c>
      <c r="D42" s="20"/>
      <c r="E42" s="9"/>
      <c r="F42" s="10">
        <v>369.3</v>
      </c>
      <c r="G42" s="79">
        <f t="shared" si="0"/>
        <v>111212.22</v>
      </c>
      <c r="H42" s="172">
        <f t="shared" ref="H42:H43" si="1">I42+J42+K42+L42+M42+N42+O42</f>
        <v>136022.53</v>
      </c>
      <c r="I42" s="105">
        <v>0</v>
      </c>
      <c r="J42" s="105">
        <v>84502.93</v>
      </c>
      <c r="K42" s="105">
        <v>2000</v>
      </c>
      <c r="L42" s="105">
        <v>0</v>
      </c>
      <c r="M42" s="105">
        <f>41453.9+652.7</f>
        <v>42106.6</v>
      </c>
      <c r="N42" s="105">
        <f t="shared" ref="N42:N43" si="2">3000+1500</f>
        <v>4500</v>
      </c>
      <c r="O42" s="105">
        <f t="shared" ref="O42:O43" si="3">2500+300+80+30+3</f>
        <v>2913</v>
      </c>
    </row>
    <row r="43" customHeight="1" spans="1:15">
      <c r="A43" s="198" t="s">
        <v>242</v>
      </c>
      <c r="B43" s="198"/>
      <c r="C43" s="231" t="s">
        <v>27</v>
      </c>
      <c r="D43" s="38" t="s">
        <v>27</v>
      </c>
      <c r="E43" s="25"/>
      <c r="F43" s="26">
        <v>652.7</v>
      </c>
      <c r="G43" s="85">
        <f t="shared" si="0"/>
        <v>110559.52</v>
      </c>
      <c r="H43" s="177">
        <f t="shared" si="1"/>
        <v>110559.52</v>
      </c>
      <c r="I43" s="112">
        <v>0</v>
      </c>
      <c r="J43" s="112">
        <v>59692.62</v>
      </c>
      <c r="K43" s="112">
        <v>2000</v>
      </c>
      <c r="L43" s="112">
        <v>0</v>
      </c>
      <c r="M43" s="112">
        <v>41453.9</v>
      </c>
      <c r="N43" s="112">
        <f t="shared" si="2"/>
        <v>4500</v>
      </c>
      <c r="O43" s="112">
        <f t="shared" si="3"/>
        <v>2913</v>
      </c>
    </row>
    <row r="44" customHeight="1" spans="1:15">
      <c r="A44" s="198" t="s">
        <v>243</v>
      </c>
      <c r="B44" s="198"/>
      <c r="C44" s="231" t="s">
        <v>244</v>
      </c>
      <c r="D44" s="38" t="s">
        <v>214</v>
      </c>
      <c r="E44" s="25"/>
      <c r="F44" s="26">
        <v>50</v>
      </c>
      <c r="G44" s="85">
        <f t="shared" si="0"/>
        <v>110509.52</v>
      </c>
      <c r="H44" s="38"/>
      <c r="I44" s="38"/>
      <c r="J44" s="38"/>
      <c r="K44" s="38"/>
      <c r="L44" s="38"/>
      <c r="M44" s="38"/>
      <c r="N44" s="38"/>
      <c r="O44" s="38"/>
    </row>
    <row r="45" customHeight="1" spans="1:15">
      <c r="A45" s="190"/>
      <c r="B45" s="190"/>
      <c r="C45" s="230" t="s">
        <v>91</v>
      </c>
      <c r="D45" s="20" t="s">
        <v>245</v>
      </c>
      <c r="E45" s="9"/>
      <c r="F45" s="10">
        <v>110</v>
      </c>
      <c r="G45" s="79">
        <f t="shared" si="0"/>
        <v>110399.52</v>
      </c>
      <c r="H45" s="20"/>
      <c r="I45" s="20"/>
      <c r="J45" s="20"/>
      <c r="K45" s="20"/>
      <c r="L45" s="20"/>
      <c r="M45" s="12"/>
      <c r="N45" s="20"/>
      <c r="O45" s="20"/>
    </row>
    <row r="46" customHeight="1" spans="1:15">
      <c r="A46" s="190" t="s">
        <v>246</v>
      </c>
      <c r="B46" s="190"/>
      <c r="C46" s="230" t="s">
        <v>247</v>
      </c>
      <c r="D46" s="20" t="s">
        <v>214</v>
      </c>
      <c r="E46" s="9"/>
      <c r="F46" s="10">
        <v>578</v>
      </c>
      <c r="G46" s="79">
        <f t="shared" si="0"/>
        <v>109821.52</v>
      </c>
      <c r="H46" s="12"/>
      <c r="I46" s="12"/>
      <c r="J46" s="12"/>
      <c r="K46" s="12"/>
      <c r="L46" s="12"/>
      <c r="M46" s="12"/>
      <c r="N46" s="12"/>
      <c r="O46" s="12"/>
    </row>
    <row r="47" customHeight="1" spans="1:15">
      <c r="A47" s="190"/>
      <c r="B47" s="190"/>
      <c r="C47" s="230" t="s">
        <v>44</v>
      </c>
      <c r="D47" s="20" t="s">
        <v>224</v>
      </c>
      <c r="E47" s="9"/>
      <c r="F47" s="10">
        <v>210</v>
      </c>
      <c r="G47" s="79">
        <f t="shared" si="0"/>
        <v>109611.52</v>
      </c>
      <c r="H47" s="20"/>
      <c r="I47" s="20"/>
      <c r="J47" s="20"/>
      <c r="K47" s="20"/>
      <c r="L47" s="20"/>
      <c r="M47" s="20"/>
      <c r="N47" s="20"/>
      <c r="O47" s="20"/>
    </row>
    <row r="48" customHeight="1" spans="1:15">
      <c r="A48" s="190"/>
      <c r="B48" s="190"/>
      <c r="C48" s="230" t="s">
        <v>39</v>
      </c>
      <c r="D48" s="20" t="s">
        <v>27</v>
      </c>
      <c r="E48" s="9"/>
      <c r="F48" s="10">
        <v>48</v>
      </c>
      <c r="G48" s="79">
        <f t="shared" si="0"/>
        <v>109563.52</v>
      </c>
      <c r="H48" s="12"/>
      <c r="I48" s="12"/>
      <c r="J48" s="12"/>
      <c r="K48" s="12"/>
      <c r="L48" s="12"/>
      <c r="M48" s="12"/>
      <c r="N48" s="12"/>
      <c r="O48" s="12"/>
    </row>
    <row r="49" customHeight="1" spans="1:15">
      <c r="A49" s="190"/>
      <c r="B49" s="190"/>
      <c r="C49" s="230" t="s">
        <v>45</v>
      </c>
      <c r="D49" s="20" t="s">
        <v>27</v>
      </c>
      <c r="E49" s="9"/>
      <c r="F49" s="10">
        <v>50</v>
      </c>
      <c r="G49" s="79">
        <f t="shared" si="0"/>
        <v>109513.52</v>
      </c>
      <c r="H49" s="20">
        <f>H50-(70000-21593)</f>
        <v>60926.52</v>
      </c>
      <c r="I49" s="20"/>
      <c r="J49" s="20"/>
      <c r="K49" s="20"/>
      <c r="L49" s="20"/>
      <c r="M49" s="20">
        <f>M50-(47000-21593)</f>
        <v>15148.9</v>
      </c>
      <c r="N49" s="20"/>
      <c r="O49" s="20"/>
    </row>
    <row r="50" customHeight="1" spans="1:15">
      <c r="A50" s="190"/>
      <c r="B50" s="190"/>
      <c r="C50" s="230" t="s">
        <v>20</v>
      </c>
      <c r="D50" s="20" t="s">
        <v>224</v>
      </c>
      <c r="E50" s="9"/>
      <c r="F50" s="10">
        <v>180</v>
      </c>
      <c r="G50" s="79">
        <f t="shared" si="0"/>
        <v>109333.52</v>
      </c>
      <c r="H50" s="172">
        <f>I50+J50+K50+L50+M50+N50+O50</f>
        <v>109333.52</v>
      </c>
      <c r="I50" s="105">
        <v>0</v>
      </c>
      <c r="J50" s="105">
        <v>59692.62</v>
      </c>
      <c r="K50" s="105">
        <v>2000</v>
      </c>
      <c r="L50" s="105">
        <v>0</v>
      </c>
      <c r="M50" s="105">
        <v>40555.9</v>
      </c>
      <c r="N50" s="105">
        <f>3000+1500</f>
        <v>4500</v>
      </c>
      <c r="O50" s="105">
        <f>2000+500+50+30+5</f>
        <v>2585</v>
      </c>
    </row>
    <row r="51" customHeight="1" spans="1:15">
      <c r="A51" s="198" t="s">
        <v>248</v>
      </c>
      <c r="B51" s="198"/>
      <c r="C51" s="231" t="s">
        <v>141</v>
      </c>
      <c r="D51" s="38" t="s">
        <v>210</v>
      </c>
      <c r="E51" s="25"/>
      <c r="F51" s="26">
        <f>51+65</f>
        <v>116</v>
      </c>
      <c r="G51" s="85">
        <f t="shared" si="0"/>
        <v>109217.52</v>
      </c>
      <c r="H51" s="148"/>
      <c r="I51" s="148"/>
      <c r="J51" s="148"/>
      <c r="K51" s="148"/>
      <c r="L51" s="148"/>
      <c r="M51" s="148"/>
      <c r="N51" s="148"/>
      <c r="O51" s="148"/>
    </row>
    <row r="52" customHeight="1" spans="1:15">
      <c r="A52" s="190"/>
      <c r="B52" s="190"/>
      <c r="C52" s="230" t="s">
        <v>249</v>
      </c>
      <c r="D52" s="20" t="s">
        <v>214</v>
      </c>
      <c r="E52" s="9"/>
      <c r="F52" s="10">
        <v>4760</v>
      </c>
      <c r="G52" s="79">
        <f t="shared" si="0"/>
        <v>104457.52</v>
      </c>
      <c r="H52" s="12"/>
      <c r="I52" s="12"/>
      <c r="J52" s="12"/>
      <c r="K52" s="12"/>
      <c r="L52" s="12"/>
      <c r="M52" s="233"/>
      <c r="N52" s="12"/>
      <c r="O52" s="12"/>
    </row>
    <row r="53" customHeight="1" spans="1:15">
      <c r="A53" s="190"/>
      <c r="B53" s="190"/>
      <c r="C53" s="230" t="s">
        <v>38</v>
      </c>
      <c r="D53" s="20" t="s">
        <v>201</v>
      </c>
      <c r="E53" s="9"/>
      <c r="F53" s="10">
        <v>200</v>
      </c>
      <c r="G53" s="79">
        <f t="shared" si="0"/>
        <v>104257.52</v>
      </c>
      <c r="H53" s="12"/>
      <c r="I53" s="12"/>
      <c r="J53" s="12"/>
      <c r="K53" s="12"/>
      <c r="L53" s="12"/>
      <c r="M53" s="12"/>
      <c r="N53" s="12"/>
      <c r="O53" s="12"/>
    </row>
    <row r="54" customHeight="1" spans="1:15">
      <c r="A54" s="190" t="s">
        <v>250</v>
      </c>
      <c r="B54" s="190"/>
      <c r="C54" s="230" t="s">
        <v>39</v>
      </c>
      <c r="D54" s="20" t="s">
        <v>27</v>
      </c>
      <c r="E54" s="9"/>
      <c r="F54" s="10">
        <v>183</v>
      </c>
      <c r="G54" s="79">
        <f t="shared" si="0"/>
        <v>104074.52</v>
      </c>
      <c r="H54" s="12"/>
      <c r="I54" s="12"/>
      <c r="J54" s="12"/>
      <c r="K54" s="12"/>
      <c r="L54" s="12"/>
      <c r="M54" s="12"/>
      <c r="N54" s="12"/>
      <c r="O54" s="12"/>
    </row>
    <row r="55" customHeight="1" spans="1:15">
      <c r="A55" s="229"/>
      <c r="B55" s="12"/>
      <c r="C55" s="230" t="s">
        <v>39</v>
      </c>
      <c r="D55" s="20" t="s">
        <v>27</v>
      </c>
      <c r="E55" s="9"/>
      <c r="F55" s="10">
        <v>328</v>
      </c>
      <c r="G55" s="79">
        <f t="shared" si="0"/>
        <v>103746.52</v>
      </c>
      <c r="H55" s="12"/>
      <c r="I55" s="12"/>
      <c r="J55" s="12"/>
      <c r="K55" s="12"/>
      <c r="L55" s="12"/>
      <c r="M55" s="12"/>
      <c r="N55" s="12"/>
      <c r="O55" s="12"/>
    </row>
    <row r="56" customHeight="1" spans="1:15">
      <c r="A56" s="200"/>
      <c r="B56" s="12"/>
      <c r="C56" s="230" t="s">
        <v>251</v>
      </c>
      <c r="D56" s="20" t="s">
        <v>214</v>
      </c>
      <c r="E56" s="9"/>
      <c r="F56" s="10">
        <f>400+250</f>
        <v>650</v>
      </c>
      <c r="G56" s="79">
        <f t="shared" si="0"/>
        <v>103096.52</v>
      </c>
      <c r="H56" s="12"/>
      <c r="I56" s="12"/>
      <c r="J56" s="12"/>
      <c r="K56" s="12"/>
      <c r="L56" s="12"/>
      <c r="M56" s="12"/>
      <c r="N56" s="12"/>
      <c r="O56" s="12"/>
    </row>
    <row r="57" customHeight="1" spans="1:7">
      <c r="A57" s="200"/>
      <c r="B57" s="12"/>
      <c r="C57" s="230" t="s">
        <v>252</v>
      </c>
      <c r="D57" s="20" t="s">
        <v>214</v>
      </c>
      <c r="E57" s="9"/>
      <c r="F57" s="10">
        <v>180</v>
      </c>
      <c r="G57" s="79">
        <f t="shared" si="0"/>
        <v>102916.52</v>
      </c>
    </row>
    <row r="58" customHeight="1" spans="1:7">
      <c r="A58" s="200"/>
      <c r="B58" s="12"/>
      <c r="C58" s="230" t="s">
        <v>106</v>
      </c>
      <c r="D58" s="20" t="s">
        <v>27</v>
      </c>
      <c r="E58" s="9"/>
      <c r="F58" s="10">
        <v>32</v>
      </c>
      <c r="G58" s="79">
        <f t="shared" si="0"/>
        <v>102884.52</v>
      </c>
    </row>
    <row r="59" customHeight="1" spans="1:7">
      <c r="A59" s="200"/>
      <c r="B59" s="12"/>
      <c r="C59" s="230" t="s">
        <v>253</v>
      </c>
      <c r="D59" s="20" t="s">
        <v>214</v>
      </c>
      <c r="E59" s="9"/>
      <c r="F59" s="10">
        <v>400</v>
      </c>
      <c r="G59" s="79">
        <f t="shared" si="0"/>
        <v>102484.52</v>
      </c>
    </row>
    <row r="60" customHeight="1" spans="1:7">
      <c r="A60" s="229" t="s">
        <v>254</v>
      </c>
      <c r="B60" s="12"/>
      <c r="C60" s="230" t="s">
        <v>255</v>
      </c>
      <c r="D60" s="20"/>
      <c r="E60" s="9">
        <v>6</v>
      </c>
      <c r="F60" s="10"/>
      <c r="G60" s="79">
        <f t="shared" si="0"/>
        <v>102490.52</v>
      </c>
    </row>
    <row r="61" customHeight="1" spans="1:7">
      <c r="A61" s="229"/>
      <c r="B61" s="12"/>
      <c r="C61" s="230" t="s">
        <v>88</v>
      </c>
      <c r="D61" s="20" t="s">
        <v>214</v>
      </c>
      <c r="E61" s="9"/>
      <c r="F61" s="10">
        <v>195</v>
      </c>
      <c r="G61" s="79">
        <f t="shared" si="0"/>
        <v>102295.52</v>
      </c>
    </row>
    <row r="62" customHeight="1" spans="1:7">
      <c r="A62" s="229"/>
      <c r="B62" s="12"/>
      <c r="C62" s="230"/>
      <c r="D62" s="20" t="s">
        <v>219</v>
      </c>
      <c r="E62" s="9"/>
      <c r="F62" s="10">
        <v>200</v>
      </c>
      <c r="G62" s="79">
        <f t="shared" si="0"/>
        <v>102095.52</v>
      </c>
    </row>
    <row r="63" customHeight="1" spans="1:15">
      <c r="A63" s="200"/>
      <c r="B63" s="12"/>
      <c r="C63" s="230" t="s">
        <v>256</v>
      </c>
      <c r="D63" s="20" t="s">
        <v>86</v>
      </c>
      <c r="E63" s="9"/>
      <c r="F63" s="10">
        <v>50</v>
      </c>
      <c r="G63" s="79">
        <f t="shared" si="0"/>
        <v>102045.52</v>
      </c>
      <c r="H63" s="20">
        <f>H64-(70000-21593)</f>
        <v>53627.52</v>
      </c>
      <c r="I63" s="20"/>
      <c r="J63" s="20"/>
      <c r="K63" s="20"/>
      <c r="L63" s="20"/>
      <c r="M63" s="20">
        <f>M64-(47000-21593)</f>
        <v>9572.9</v>
      </c>
      <c r="N63" s="20"/>
      <c r="O63" s="20"/>
    </row>
    <row r="64" customHeight="1" spans="1:15">
      <c r="A64" s="229"/>
      <c r="B64" s="12"/>
      <c r="C64" s="232" t="s">
        <v>83</v>
      </c>
      <c r="D64" s="20"/>
      <c r="E64" s="9"/>
      <c r="F64" s="10">
        <v>11</v>
      </c>
      <c r="G64" s="79">
        <f t="shared" si="0"/>
        <v>102034.52</v>
      </c>
      <c r="H64" s="172">
        <f>I64+J64+K64+L64+M64+N64+O64</f>
        <v>102034.52</v>
      </c>
      <c r="I64" s="105">
        <v>0</v>
      </c>
      <c r="J64" s="105">
        <v>59692.62</v>
      </c>
      <c r="K64" s="105">
        <v>2000</v>
      </c>
      <c r="L64" s="105">
        <v>0</v>
      </c>
      <c r="M64" s="105">
        <f>34973.9+6</f>
        <v>34979.9</v>
      </c>
      <c r="N64" s="105">
        <f>3000+1500</f>
        <v>4500</v>
      </c>
      <c r="O64" s="105">
        <f>500+300+20+40+2</f>
        <v>862</v>
      </c>
    </row>
    <row r="65" customHeight="1" spans="1:15">
      <c r="A65" s="234" t="s">
        <v>257</v>
      </c>
      <c r="B65" s="148"/>
      <c r="C65" s="231" t="s">
        <v>258</v>
      </c>
      <c r="D65" s="38" t="s">
        <v>214</v>
      </c>
      <c r="E65" s="25"/>
      <c r="F65" s="26">
        <v>900</v>
      </c>
      <c r="G65" s="85">
        <f t="shared" si="0"/>
        <v>101134.52</v>
      </c>
      <c r="H65" s="148"/>
      <c r="I65" s="148"/>
      <c r="J65" s="148"/>
      <c r="K65" s="148"/>
      <c r="L65" s="148"/>
      <c r="M65" s="148"/>
      <c r="N65" s="148"/>
      <c r="O65" s="148"/>
    </row>
    <row r="66" customHeight="1" spans="1:15">
      <c r="A66" s="229"/>
      <c r="B66" s="12"/>
      <c r="C66" s="230" t="s">
        <v>30</v>
      </c>
      <c r="D66" s="20" t="s">
        <v>27</v>
      </c>
      <c r="E66" s="9"/>
      <c r="F66" s="10">
        <v>50</v>
      </c>
      <c r="G66" s="79">
        <f t="shared" si="0"/>
        <v>101084.52</v>
      </c>
      <c r="H66" s="12"/>
      <c r="I66" s="12"/>
      <c r="J66" s="12"/>
      <c r="K66" s="12"/>
      <c r="L66" s="12"/>
      <c r="M66" s="12"/>
      <c r="N66" s="12"/>
      <c r="O66" s="12"/>
    </row>
    <row r="67" customHeight="1" spans="1:15">
      <c r="A67" s="229"/>
      <c r="B67" s="12"/>
      <c r="C67" s="230" t="s">
        <v>106</v>
      </c>
      <c r="D67" s="20" t="s">
        <v>27</v>
      </c>
      <c r="E67" s="9"/>
      <c r="F67" s="10">
        <v>40</v>
      </c>
      <c r="G67" s="79">
        <f t="shared" si="0"/>
        <v>101044.52</v>
      </c>
      <c r="H67" s="12"/>
      <c r="I67" s="12"/>
      <c r="J67" s="12"/>
      <c r="K67" s="12"/>
      <c r="L67" s="12"/>
      <c r="M67" s="12"/>
      <c r="N67" s="12"/>
      <c r="O67" s="12"/>
    </row>
    <row r="68" customHeight="1" spans="1:15">
      <c r="A68" s="229" t="s">
        <v>259</v>
      </c>
      <c r="B68" s="12"/>
      <c r="C68" s="230" t="s">
        <v>106</v>
      </c>
      <c r="D68" s="20" t="s">
        <v>27</v>
      </c>
      <c r="E68" s="9"/>
      <c r="F68" s="10">
        <v>68</v>
      </c>
      <c r="G68" s="79">
        <f t="shared" si="0"/>
        <v>100976.52</v>
      </c>
      <c r="H68" s="142"/>
      <c r="I68" s="143"/>
      <c r="J68" s="143"/>
      <c r="K68" s="143"/>
      <c r="L68" s="143"/>
      <c r="M68" s="143"/>
      <c r="N68" s="143"/>
      <c r="O68" s="142"/>
    </row>
    <row r="69" customHeight="1" spans="1:15">
      <c r="A69" s="229" t="s">
        <v>260</v>
      </c>
      <c r="B69" s="12"/>
      <c r="C69" s="230" t="s">
        <v>58</v>
      </c>
      <c r="D69" s="20" t="s">
        <v>224</v>
      </c>
      <c r="E69" s="9"/>
      <c r="F69" s="10">
        <v>100</v>
      </c>
      <c r="G69" s="79">
        <f t="shared" si="0"/>
        <v>100876.52</v>
      </c>
      <c r="H69" s="12"/>
      <c r="I69" s="12"/>
      <c r="J69" s="12"/>
      <c r="K69" s="12"/>
      <c r="L69" s="237"/>
      <c r="M69" s="12"/>
      <c r="N69" s="12"/>
      <c r="O69" s="12"/>
    </row>
    <row r="70" customHeight="1" spans="1:15">
      <c r="A70" s="229"/>
      <c r="B70" s="12"/>
      <c r="C70" s="230" t="s">
        <v>39</v>
      </c>
      <c r="D70" s="20" t="s">
        <v>27</v>
      </c>
      <c r="E70" s="9"/>
      <c r="F70" s="10">
        <v>1151.75</v>
      </c>
      <c r="G70" s="79">
        <f t="shared" si="0"/>
        <v>99724.77</v>
      </c>
      <c r="H70" s="12"/>
      <c r="I70" s="12"/>
      <c r="J70" s="12"/>
      <c r="K70" s="12"/>
      <c r="L70" s="237"/>
      <c r="N70" s="12"/>
      <c r="O70" s="12"/>
    </row>
    <row r="71" customHeight="1" spans="1:15">
      <c r="A71" s="229"/>
      <c r="B71" s="12"/>
      <c r="C71" s="230" t="s">
        <v>261</v>
      </c>
      <c r="D71" s="20" t="s">
        <v>214</v>
      </c>
      <c r="E71" s="9"/>
      <c r="F71" s="10">
        <v>79</v>
      </c>
      <c r="G71" s="79">
        <f t="shared" si="0"/>
        <v>99645.77</v>
      </c>
      <c r="I71" s="20"/>
      <c r="J71" s="20"/>
      <c r="K71" s="20"/>
      <c r="L71" s="20"/>
      <c r="M71" s="12"/>
      <c r="N71" s="20"/>
      <c r="O71" s="20"/>
    </row>
    <row r="72" customHeight="1" spans="1:13">
      <c r="A72" s="235">
        <v>45994</v>
      </c>
      <c r="B72" s="236"/>
      <c r="C72" s="215" t="s">
        <v>262</v>
      </c>
      <c r="D72" s="168" t="s">
        <v>224</v>
      </c>
      <c r="E72" s="18"/>
      <c r="F72" s="19">
        <v>250</v>
      </c>
      <c r="G72" s="79">
        <f t="shared" si="0"/>
        <v>99395.77</v>
      </c>
      <c r="H72" s="20"/>
      <c r="J72" s="105"/>
      <c r="M72" s="20"/>
    </row>
    <row r="73" customHeight="1" spans="1:15">
      <c r="A73" s="186" t="s">
        <v>263</v>
      </c>
      <c r="B73" s="236"/>
      <c r="C73" s="215" t="s">
        <v>264</v>
      </c>
      <c r="D73" s="168" t="s">
        <v>214</v>
      </c>
      <c r="E73" s="18"/>
      <c r="F73" s="19">
        <v>75</v>
      </c>
      <c r="G73" s="79">
        <f t="shared" si="0"/>
        <v>99320.77</v>
      </c>
      <c r="H73" s="12"/>
      <c r="I73" s="105"/>
      <c r="J73" s="105"/>
      <c r="K73" s="105"/>
      <c r="L73" s="105"/>
      <c r="M73" s="105"/>
      <c r="N73" s="105"/>
      <c r="O73" s="105"/>
    </row>
    <row r="74" customHeight="1" spans="1:15">
      <c r="A74" s="186"/>
      <c r="B74" s="236"/>
      <c r="C74" s="215" t="s">
        <v>265</v>
      </c>
      <c r="D74" s="168" t="s">
        <v>27</v>
      </c>
      <c r="E74" s="18"/>
      <c r="F74" s="19">
        <v>306</v>
      </c>
      <c r="G74" s="79">
        <f t="shared" si="0"/>
        <v>99014.77</v>
      </c>
      <c r="H74" s="12"/>
      <c r="I74" s="105"/>
      <c r="J74" s="105"/>
      <c r="K74" s="105"/>
      <c r="L74" s="105"/>
      <c r="M74" s="105"/>
      <c r="N74" s="105"/>
      <c r="O74" s="105"/>
    </row>
    <row r="75" customHeight="1" spans="1:15">
      <c r="A75" s="229" t="s">
        <v>266</v>
      </c>
      <c r="B75" s="12"/>
      <c r="C75" s="230" t="s">
        <v>224</v>
      </c>
      <c r="D75" s="20" t="s">
        <v>86</v>
      </c>
      <c r="E75" s="9"/>
      <c r="F75" s="10">
        <v>180</v>
      </c>
      <c r="G75" s="79">
        <f t="shared" si="0"/>
        <v>98834.77</v>
      </c>
      <c r="I75" s="12"/>
      <c r="J75" s="64"/>
      <c r="K75" s="12"/>
      <c r="L75" s="12"/>
      <c r="M75" s="12"/>
      <c r="N75" s="12"/>
      <c r="O75" s="12"/>
    </row>
    <row r="76" customHeight="1" spans="1:15">
      <c r="A76" s="229" t="s">
        <v>267</v>
      </c>
      <c r="B76" s="12"/>
      <c r="C76" s="230" t="s">
        <v>268</v>
      </c>
      <c r="D76" s="20" t="s">
        <v>86</v>
      </c>
      <c r="E76" s="9"/>
      <c r="F76" s="10">
        <v>370</v>
      </c>
      <c r="G76" s="79">
        <f t="shared" si="0"/>
        <v>98464.77</v>
      </c>
      <c r="H76" s="142"/>
      <c r="I76" s="143"/>
      <c r="J76" s="143"/>
      <c r="K76" s="143"/>
      <c r="L76" s="143"/>
      <c r="M76" s="143"/>
      <c r="N76" s="143"/>
      <c r="O76" s="142"/>
    </row>
    <row r="77" customHeight="1" spans="1:15">
      <c r="A77" s="229"/>
      <c r="B77" s="12"/>
      <c r="C77" s="230" t="s">
        <v>33</v>
      </c>
      <c r="D77" s="20" t="s">
        <v>201</v>
      </c>
      <c r="E77" s="9"/>
      <c r="F77" s="10">
        <v>200</v>
      </c>
      <c r="G77" s="79">
        <f t="shared" si="0"/>
        <v>98264.77</v>
      </c>
      <c r="H77" s="12"/>
      <c r="I77" s="12"/>
      <c r="J77" s="12"/>
      <c r="K77" s="12"/>
      <c r="L77" s="12"/>
      <c r="M77" s="12"/>
      <c r="N77" s="12"/>
      <c r="O77" s="12"/>
    </row>
    <row r="78" customHeight="1" spans="1:15">
      <c r="A78" s="229"/>
      <c r="B78" s="12"/>
      <c r="C78" s="230" t="s">
        <v>269</v>
      </c>
      <c r="D78" s="20" t="s">
        <v>27</v>
      </c>
      <c r="E78" s="9"/>
      <c r="F78" s="10">
        <v>50</v>
      </c>
      <c r="G78" s="79">
        <f t="shared" si="0"/>
        <v>98214.77</v>
      </c>
      <c r="H78" s="12"/>
      <c r="I78" s="12"/>
      <c r="J78" s="12"/>
      <c r="K78" s="12"/>
      <c r="L78" s="12"/>
      <c r="M78" s="12"/>
      <c r="N78" s="12"/>
      <c r="O78" s="12"/>
    </row>
    <row r="79" customHeight="1" spans="1:15">
      <c r="A79" s="229"/>
      <c r="B79" s="12"/>
      <c r="C79" s="230" t="s">
        <v>270</v>
      </c>
      <c r="D79" s="20" t="s">
        <v>224</v>
      </c>
      <c r="E79" s="9"/>
      <c r="F79" s="10">
        <v>50</v>
      </c>
      <c r="G79" s="79">
        <f t="shared" si="0"/>
        <v>98164.77</v>
      </c>
      <c r="H79" s="12"/>
      <c r="I79" s="12"/>
      <c r="J79" s="12"/>
      <c r="K79" s="12"/>
      <c r="L79" s="12"/>
      <c r="M79" s="12"/>
      <c r="N79" s="12"/>
      <c r="O79" s="12"/>
    </row>
    <row r="80" customHeight="1" spans="1:15">
      <c r="A80" s="229"/>
      <c r="B80" s="12"/>
      <c r="C80" s="230" t="s">
        <v>271</v>
      </c>
      <c r="D80" s="20" t="s">
        <v>214</v>
      </c>
      <c r="E80" s="9"/>
      <c r="F80" s="10">
        <v>80</v>
      </c>
      <c r="G80" s="79">
        <f t="shared" si="0"/>
        <v>98084.77</v>
      </c>
      <c r="H80" s="12"/>
      <c r="I80" s="12"/>
      <c r="J80" s="12"/>
      <c r="K80" s="12"/>
      <c r="L80" s="12"/>
      <c r="M80" s="12"/>
      <c r="N80" s="12"/>
      <c r="O80" s="12"/>
    </row>
    <row r="81" customHeight="1" spans="1:15">
      <c r="A81" s="229"/>
      <c r="B81" s="12"/>
      <c r="C81" s="230" t="s">
        <v>272</v>
      </c>
      <c r="D81" s="20" t="s">
        <v>219</v>
      </c>
      <c r="E81" s="9"/>
      <c r="F81" s="10">
        <v>22</v>
      </c>
      <c r="G81" s="79">
        <f t="shared" si="0"/>
        <v>98062.77</v>
      </c>
      <c r="H81" s="20"/>
      <c r="I81" s="20"/>
      <c r="J81" s="20"/>
      <c r="K81" s="20"/>
      <c r="L81" s="20"/>
      <c r="M81" s="12"/>
      <c r="N81" s="20"/>
      <c r="O81" s="20"/>
    </row>
    <row r="82" customHeight="1" spans="1:13">
      <c r="A82" s="229"/>
      <c r="B82" s="12"/>
      <c r="C82" s="230" t="s">
        <v>39</v>
      </c>
      <c r="D82" s="20" t="s">
        <v>27</v>
      </c>
      <c r="E82" s="9"/>
      <c r="F82" s="10">
        <v>90</v>
      </c>
      <c r="G82" s="79">
        <f t="shared" si="0"/>
        <v>97972.77</v>
      </c>
      <c r="H82" s="20">
        <f>H83-(70000-21593)</f>
        <v>49307.77</v>
      </c>
      <c r="J82" s="105">
        <f>J83-20000</f>
        <v>39061.62</v>
      </c>
      <c r="M82" s="20">
        <f>M83-(50000-21593)</f>
        <v>3734.15</v>
      </c>
    </row>
    <row r="83" customHeight="1" spans="1:15">
      <c r="A83" s="229"/>
      <c r="B83" s="12"/>
      <c r="C83" s="232" t="s">
        <v>83</v>
      </c>
      <c r="D83" s="20"/>
      <c r="E83" s="9"/>
      <c r="F83" s="10">
        <v>258</v>
      </c>
      <c r="G83" s="79">
        <f t="shared" si="0"/>
        <v>97714.77</v>
      </c>
      <c r="H83" s="142">
        <f>I83+J83+K83+L83+M83+N83+O83</f>
        <v>97714.77</v>
      </c>
      <c r="I83" s="105">
        <v>0</v>
      </c>
      <c r="J83" s="105">
        <v>59061.62</v>
      </c>
      <c r="K83" s="105">
        <v>2000</v>
      </c>
      <c r="L83" s="105">
        <v>0</v>
      </c>
      <c r="M83" s="105">
        <v>32141.15</v>
      </c>
      <c r="N83" s="105">
        <v>1500</v>
      </c>
      <c r="O83" s="105">
        <f>2900+70+40+2</f>
        <v>3012</v>
      </c>
    </row>
    <row r="84" customHeight="1" spans="1:15">
      <c r="A84" s="234" t="s">
        <v>273</v>
      </c>
      <c r="B84" s="148"/>
      <c r="C84" s="231" t="s">
        <v>274</v>
      </c>
      <c r="D84" s="38" t="s">
        <v>27</v>
      </c>
      <c r="E84" s="25"/>
      <c r="F84" s="26">
        <v>233</v>
      </c>
      <c r="G84" s="85">
        <f t="shared" si="0"/>
        <v>97481.77</v>
      </c>
      <c r="H84" s="28"/>
      <c r="I84" s="28"/>
      <c r="J84" s="28"/>
      <c r="K84" s="28"/>
      <c r="L84" s="28"/>
      <c r="M84" s="28"/>
      <c r="N84" s="28"/>
      <c r="O84" s="28"/>
    </row>
    <row r="85" customHeight="1" spans="1:15">
      <c r="A85" s="229"/>
      <c r="B85" s="12"/>
      <c r="C85" s="230" t="s">
        <v>27</v>
      </c>
      <c r="D85" s="20" t="s">
        <v>27</v>
      </c>
      <c r="E85" s="9"/>
      <c r="F85" s="10">
        <v>223</v>
      </c>
      <c r="G85" s="79">
        <f t="shared" si="0"/>
        <v>97258.77</v>
      </c>
      <c r="H85" s="12"/>
      <c r="I85" s="12"/>
      <c r="J85" s="12"/>
      <c r="K85" s="12"/>
      <c r="L85" s="12"/>
      <c r="M85" s="12"/>
      <c r="N85" s="12"/>
      <c r="O85" s="12"/>
    </row>
    <row r="86" customHeight="1" spans="1:15">
      <c r="A86" s="229"/>
      <c r="B86" s="12"/>
      <c r="C86" s="230" t="s">
        <v>275</v>
      </c>
      <c r="D86" s="20" t="s">
        <v>219</v>
      </c>
      <c r="E86" s="9"/>
      <c r="F86" s="10">
        <v>476</v>
      </c>
      <c r="G86" s="79">
        <f t="shared" si="0"/>
        <v>96782.77</v>
      </c>
      <c r="H86" s="142"/>
      <c r="I86" s="143"/>
      <c r="J86" s="143"/>
      <c r="K86" s="143"/>
      <c r="L86" s="143"/>
      <c r="M86" s="143"/>
      <c r="N86" s="143"/>
      <c r="O86" s="142"/>
    </row>
    <row r="87" customHeight="1" spans="1:15">
      <c r="A87" s="229"/>
      <c r="B87" s="12"/>
      <c r="C87" s="230" t="s">
        <v>27</v>
      </c>
      <c r="D87" s="20" t="s">
        <v>27</v>
      </c>
      <c r="E87" s="9"/>
      <c r="F87" s="10">
        <v>682</v>
      </c>
      <c r="G87" s="79">
        <f t="shared" si="0"/>
        <v>96100.77</v>
      </c>
      <c r="H87" s="20"/>
      <c r="I87" s="20"/>
      <c r="J87" s="20"/>
      <c r="K87" s="20"/>
      <c r="L87" s="20"/>
      <c r="M87" s="12"/>
      <c r="N87" s="20"/>
      <c r="O87" s="20"/>
    </row>
    <row r="88" customHeight="1" spans="1:15">
      <c r="A88" s="229"/>
      <c r="B88" s="12"/>
      <c r="C88" s="230"/>
      <c r="D88" s="20" t="s">
        <v>219</v>
      </c>
      <c r="E88" s="9"/>
      <c r="F88" s="10">
        <v>200</v>
      </c>
      <c r="G88" s="79">
        <f t="shared" si="0"/>
        <v>95900.77</v>
      </c>
      <c r="H88" s="12"/>
      <c r="I88" s="12"/>
      <c r="J88" s="12"/>
      <c r="K88" s="12"/>
      <c r="L88" s="12"/>
      <c r="M88" s="12"/>
      <c r="N88" s="12"/>
      <c r="O88" s="12"/>
    </row>
    <row r="89" customHeight="1" spans="1:15">
      <c r="A89" s="229" t="s">
        <v>276</v>
      </c>
      <c r="B89" s="12"/>
      <c r="C89" s="230" t="s">
        <v>277</v>
      </c>
      <c r="D89" s="20" t="s">
        <v>214</v>
      </c>
      <c r="E89" s="9"/>
      <c r="F89" s="10">
        <v>5987</v>
      </c>
      <c r="G89" s="79">
        <f t="shared" si="0"/>
        <v>89913.77</v>
      </c>
      <c r="H89" s="12"/>
      <c r="I89" s="12"/>
      <c r="J89" s="12"/>
      <c r="K89" s="12"/>
      <c r="L89" s="12"/>
      <c r="M89" s="12"/>
      <c r="N89" s="12"/>
      <c r="O89" s="12"/>
    </row>
    <row r="90" customHeight="1" spans="1:15">
      <c r="A90" s="229"/>
      <c r="B90" s="12"/>
      <c r="C90" s="230" t="s">
        <v>30</v>
      </c>
      <c r="D90" s="20" t="s">
        <v>27</v>
      </c>
      <c r="E90" s="9"/>
      <c r="F90" s="10">
        <v>50</v>
      </c>
      <c r="G90" s="79">
        <f t="shared" si="0"/>
        <v>89863.77</v>
      </c>
      <c r="H90" s="12"/>
      <c r="I90" s="12"/>
      <c r="J90" s="12"/>
      <c r="K90" s="12"/>
      <c r="L90" s="12"/>
      <c r="M90" s="12"/>
      <c r="N90" s="12"/>
      <c r="O90" s="12"/>
    </row>
    <row r="91" customHeight="1" spans="1:15">
      <c r="A91" s="186"/>
      <c r="B91" s="236"/>
      <c r="C91" s="215" t="s">
        <v>278</v>
      </c>
      <c r="D91" s="168" t="s">
        <v>214</v>
      </c>
      <c r="E91" s="18"/>
      <c r="F91" s="19">
        <v>102.9</v>
      </c>
      <c r="G91" s="79">
        <f t="shared" si="0"/>
        <v>89760.87</v>
      </c>
      <c r="H91" s="142"/>
      <c r="I91" s="143"/>
      <c r="J91" s="143"/>
      <c r="K91" s="143"/>
      <c r="L91" s="143"/>
      <c r="M91" s="143"/>
      <c r="N91" s="143"/>
      <c r="O91" s="142"/>
    </row>
    <row r="92" customHeight="1" spans="1:15">
      <c r="A92" s="186"/>
      <c r="B92" s="236"/>
      <c r="C92" s="215" t="s">
        <v>279</v>
      </c>
      <c r="D92" s="168"/>
      <c r="E92" s="18">
        <v>3</v>
      </c>
      <c r="F92" s="19"/>
      <c r="G92" s="79">
        <f t="shared" si="0"/>
        <v>89763.87</v>
      </c>
      <c r="H92" s="12"/>
      <c r="I92" s="12"/>
      <c r="J92" s="12"/>
      <c r="K92" s="12"/>
      <c r="L92" s="12"/>
      <c r="M92" s="12"/>
      <c r="N92" s="12"/>
      <c r="O92" s="12"/>
    </row>
    <row r="93" customHeight="1" spans="1:15">
      <c r="A93" s="229"/>
      <c r="B93" s="12"/>
      <c r="C93" s="190" t="s">
        <v>280</v>
      </c>
      <c r="D93" s="20"/>
      <c r="E93" s="9">
        <v>3</v>
      </c>
      <c r="F93" s="10"/>
      <c r="G93" s="79">
        <f t="shared" si="0"/>
        <v>89766.87</v>
      </c>
      <c r="H93" s="12"/>
      <c r="I93" s="12"/>
      <c r="J93" s="12"/>
      <c r="K93" s="12"/>
      <c r="L93" s="12"/>
      <c r="M93" s="12"/>
      <c r="N93" s="12"/>
      <c r="O93" s="12"/>
    </row>
    <row r="94" customHeight="1" spans="1:15">
      <c r="A94" s="229"/>
      <c r="B94" s="12"/>
      <c r="C94" s="230" t="s">
        <v>47</v>
      </c>
      <c r="D94" s="20" t="s">
        <v>281</v>
      </c>
      <c r="E94" s="9"/>
      <c r="F94" s="10">
        <f>1380+1380</f>
        <v>2760</v>
      </c>
      <c r="G94" s="79">
        <f t="shared" si="0"/>
        <v>87006.87</v>
      </c>
      <c r="H94" s="12"/>
      <c r="I94" s="12"/>
      <c r="J94" s="12"/>
      <c r="K94" s="12"/>
      <c r="L94" s="12"/>
      <c r="M94" s="12"/>
      <c r="N94" s="12"/>
      <c r="O94" s="12"/>
    </row>
    <row r="95" customHeight="1" spans="1:13">
      <c r="A95" s="229"/>
      <c r="B95" s="12"/>
      <c r="C95" s="230" t="s">
        <v>228</v>
      </c>
      <c r="D95" s="20" t="s">
        <v>27</v>
      </c>
      <c r="E95" s="9"/>
      <c r="F95" s="10">
        <v>247</v>
      </c>
      <c r="G95" s="79">
        <f t="shared" si="0"/>
        <v>86759.87</v>
      </c>
      <c r="H95" s="20"/>
      <c r="J95" s="105"/>
      <c r="M95" s="20"/>
    </row>
    <row r="96" customHeight="1" spans="1:15">
      <c r="A96" s="229" t="s">
        <v>282</v>
      </c>
      <c r="B96" s="12"/>
      <c r="C96" s="230" t="s">
        <v>283</v>
      </c>
      <c r="D96" s="20"/>
      <c r="E96" s="9">
        <v>105</v>
      </c>
      <c r="F96" s="10"/>
      <c r="G96" s="79">
        <f t="shared" si="0"/>
        <v>86864.87</v>
      </c>
      <c r="H96" s="12"/>
      <c r="I96" s="105"/>
      <c r="J96" s="105"/>
      <c r="K96" s="105"/>
      <c r="L96" s="105"/>
      <c r="M96" s="105"/>
      <c r="N96" s="105"/>
      <c r="O96" s="105"/>
    </row>
    <row r="97" customHeight="1" spans="1:15">
      <c r="A97" s="229"/>
      <c r="B97" s="12"/>
      <c r="C97" s="230" t="s">
        <v>283</v>
      </c>
      <c r="D97" s="20" t="s">
        <v>86</v>
      </c>
      <c r="E97" s="9"/>
      <c r="F97" s="10">
        <v>191</v>
      </c>
      <c r="G97" s="79">
        <f t="shared" si="0"/>
        <v>86673.87</v>
      </c>
      <c r="H97" s="20"/>
      <c r="I97" s="20"/>
      <c r="J97" s="20"/>
      <c r="K97" s="20"/>
      <c r="L97" s="20"/>
      <c r="M97" s="12"/>
      <c r="N97" s="20"/>
      <c r="O97" s="20"/>
    </row>
    <row r="98" customHeight="1" spans="1:15">
      <c r="A98" s="229"/>
      <c r="B98" s="12"/>
      <c r="C98" s="230" t="s">
        <v>284</v>
      </c>
      <c r="D98" s="20" t="s">
        <v>214</v>
      </c>
      <c r="E98" s="9"/>
      <c r="F98" s="10">
        <v>1250</v>
      </c>
      <c r="G98" s="79">
        <f t="shared" si="0"/>
        <v>85423.87</v>
      </c>
      <c r="H98" s="12"/>
      <c r="I98" s="12"/>
      <c r="J98" s="12"/>
      <c r="K98" s="12"/>
      <c r="L98" s="12"/>
      <c r="M98" s="12"/>
      <c r="N98" s="12"/>
      <c r="O98" s="12"/>
    </row>
    <row r="99" customHeight="1" spans="1:15">
      <c r="A99" s="229"/>
      <c r="B99" s="12"/>
      <c r="C99" s="230" t="s">
        <v>285</v>
      </c>
      <c r="D99" s="20" t="s">
        <v>281</v>
      </c>
      <c r="E99" s="9"/>
      <c r="F99" s="10">
        <v>2034.5</v>
      </c>
      <c r="G99" s="79">
        <f t="shared" si="0"/>
        <v>83389.37</v>
      </c>
      <c r="H99" s="12"/>
      <c r="I99" s="12"/>
      <c r="J99" s="12"/>
      <c r="K99" s="12"/>
      <c r="L99" s="12"/>
      <c r="M99" s="12"/>
      <c r="N99" s="12"/>
      <c r="O99" s="12"/>
    </row>
    <row r="100" customHeight="1" spans="1:15">
      <c r="A100" s="229"/>
      <c r="B100" s="12"/>
      <c r="C100" s="230"/>
      <c r="D100" s="20"/>
      <c r="E100" s="9">
        <v>6</v>
      </c>
      <c r="F100" s="10"/>
      <c r="G100" s="79">
        <f t="shared" si="0"/>
        <v>83395.37</v>
      </c>
      <c r="H100" s="12"/>
      <c r="I100" s="12"/>
      <c r="J100" s="12"/>
      <c r="K100" s="12"/>
      <c r="L100" s="12"/>
      <c r="M100" s="12"/>
      <c r="N100" s="12"/>
      <c r="O100" s="12"/>
    </row>
    <row r="101" customHeight="1" spans="1:13">
      <c r="A101" s="229" t="s">
        <v>286</v>
      </c>
      <c r="B101" s="12"/>
      <c r="C101" s="230" t="s">
        <v>285</v>
      </c>
      <c r="D101" s="20" t="s">
        <v>281</v>
      </c>
      <c r="E101" s="9"/>
      <c r="F101" s="10">
        <v>2034</v>
      </c>
      <c r="G101" s="79">
        <f t="shared" si="0"/>
        <v>81361.37</v>
      </c>
      <c r="H101" s="20">
        <f>H102-(70000-21593)</f>
        <v>32985.37</v>
      </c>
      <c r="J101" s="105"/>
      <c r="M101" s="20"/>
    </row>
    <row r="102" customHeight="1" spans="1:15">
      <c r="A102" s="229"/>
      <c r="B102" s="12"/>
      <c r="C102" s="232" t="s">
        <v>83</v>
      </c>
      <c r="D102" s="20"/>
      <c r="E102" s="9">
        <v>31</v>
      </c>
      <c r="F102" s="10"/>
      <c r="G102" s="79">
        <f t="shared" si="0"/>
        <v>81392.37</v>
      </c>
      <c r="H102" s="142">
        <f>I102+J102+K102+L102+M102+N102+O102</f>
        <v>81392.37</v>
      </c>
      <c r="I102" s="105">
        <v>0</v>
      </c>
      <c r="J102" s="105">
        <f>58961.72</f>
        <v>58961.72</v>
      </c>
      <c r="K102" s="105">
        <v>2000</v>
      </c>
      <c r="L102" s="105">
        <v>0</v>
      </c>
      <c r="M102" s="105">
        <f>19651.65-2034</f>
        <v>17617.65</v>
      </c>
      <c r="N102" s="105">
        <v>1500</v>
      </c>
      <c r="O102" s="105">
        <f>1240+43+30</f>
        <v>1313</v>
      </c>
    </row>
    <row r="103" customHeight="1" spans="1:15">
      <c r="A103" s="234"/>
      <c r="B103" s="148"/>
      <c r="C103" s="219" t="s">
        <v>196</v>
      </c>
      <c r="D103" s="176"/>
      <c r="E103" s="97">
        <v>568</v>
      </c>
      <c r="F103" s="26"/>
      <c r="G103" s="85">
        <f t="shared" si="0"/>
        <v>81960.37</v>
      </c>
      <c r="H103" s="28"/>
      <c r="I103" s="28"/>
      <c r="J103" s="28"/>
      <c r="K103" s="28"/>
      <c r="L103" s="28"/>
      <c r="M103" s="28"/>
      <c r="N103" s="28"/>
      <c r="O103" s="28"/>
    </row>
    <row r="104" customHeight="1" spans="1:7">
      <c r="A104" s="229"/>
      <c r="B104" s="12"/>
      <c r="C104" s="230" t="s">
        <v>196</v>
      </c>
      <c r="D104" s="20"/>
      <c r="E104" s="9">
        <v>57</v>
      </c>
      <c r="F104" s="10">
        <v>5.9</v>
      </c>
      <c r="G104" s="79">
        <f t="shared" si="0"/>
        <v>82011.47</v>
      </c>
    </row>
    <row r="105" customHeight="1" spans="1:15">
      <c r="A105" s="229"/>
      <c r="B105" s="12"/>
      <c r="C105" s="230" t="s">
        <v>287</v>
      </c>
      <c r="D105" s="20" t="s">
        <v>214</v>
      </c>
      <c r="E105" s="9"/>
      <c r="F105" s="10">
        <v>2.1</v>
      </c>
      <c r="G105" s="79">
        <f t="shared" si="0"/>
        <v>82009.37</v>
      </c>
      <c r="H105" s="20"/>
      <c r="I105" s="20"/>
      <c r="J105" s="20"/>
      <c r="K105" s="20"/>
      <c r="L105" s="20"/>
      <c r="M105" s="12"/>
      <c r="N105" s="20"/>
      <c r="O105" s="20"/>
    </row>
    <row r="106" customHeight="1" spans="1:15">
      <c r="A106" s="229" t="s">
        <v>288</v>
      </c>
      <c r="B106" s="12"/>
      <c r="C106" s="230" t="s">
        <v>27</v>
      </c>
      <c r="D106" s="20" t="s">
        <v>27</v>
      </c>
      <c r="E106" s="9"/>
      <c r="F106" s="10">
        <v>226</v>
      </c>
      <c r="G106" s="79">
        <f t="shared" si="0"/>
        <v>81783.37</v>
      </c>
      <c r="H106" s="12"/>
      <c r="I106" s="12"/>
      <c r="J106" s="12"/>
      <c r="K106" s="12"/>
      <c r="L106" s="12"/>
      <c r="M106" s="12"/>
      <c r="N106" s="12"/>
      <c r="O106" s="12"/>
    </row>
    <row r="107" customHeight="1" spans="1:15">
      <c r="A107" s="229"/>
      <c r="B107" s="12"/>
      <c r="C107" s="230" t="s">
        <v>289</v>
      </c>
      <c r="D107" s="20" t="s">
        <v>219</v>
      </c>
      <c r="E107" s="9"/>
      <c r="F107" s="10">
        <v>669</v>
      </c>
      <c r="G107" s="79">
        <f t="shared" si="0"/>
        <v>81114.37</v>
      </c>
      <c r="H107" s="12"/>
      <c r="I107" s="12"/>
      <c r="J107" s="64"/>
      <c r="K107" s="12"/>
      <c r="L107" s="12"/>
      <c r="M107" s="12"/>
      <c r="N107" s="12"/>
      <c r="O107" s="12"/>
    </row>
    <row r="108" customHeight="1" spans="1:15">
      <c r="A108" s="229"/>
      <c r="B108" s="12"/>
      <c r="C108" s="230" t="s">
        <v>27</v>
      </c>
      <c r="D108" s="20" t="s">
        <v>27</v>
      </c>
      <c r="E108" s="9"/>
      <c r="F108" s="10">
        <v>3285.24</v>
      </c>
      <c r="G108" s="79">
        <f t="shared" si="0"/>
        <v>77829.13</v>
      </c>
      <c r="H108" s="12"/>
      <c r="I108" s="12"/>
      <c r="J108" s="12"/>
      <c r="K108" s="12"/>
      <c r="L108" s="12"/>
      <c r="M108" s="12"/>
      <c r="N108" s="12"/>
      <c r="O108" s="12"/>
    </row>
    <row r="109" customHeight="1" spans="2:15">
      <c r="B109" s="12"/>
      <c r="C109" s="230" t="s">
        <v>33</v>
      </c>
      <c r="D109" s="20" t="s">
        <v>201</v>
      </c>
      <c r="E109" s="9"/>
      <c r="F109" s="10">
        <v>200</v>
      </c>
      <c r="G109" s="79">
        <f t="shared" si="0"/>
        <v>77629.13</v>
      </c>
      <c r="H109" s="12"/>
      <c r="I109" s="12"/>
      <c r="J109" s="12"/>
      <c r="K109" s="12"/>
      <c r="L109" s="12"/>
      <c r="M109" s="12"/>
      <c r="N109" s="12"/>
      <c r="O109" s="12"/>
    </row>
    <row r="110" customHeight="1" spans="1:15">
      <c r="A110" s="229" t="s">
        <v>290</v>
      </c>
      <c r="B110" s="12"/>
      <c r="C110" s="230" t="s">
        <v>274</v>
      </c>
      <c r="D110" s="20" t="s">
        <v>27</v>
      </c>
      <c r="E110" s="9"/>
      <c r="F110" s="10">
        <v>391</v>
      </c>
      <c r="G110" s="79">
        <f t="shared" si="0"/>
        <v>77238.13</v>
      </c>
      <c r="H110" s="12"/>
      <c r="I110" s="12"/>
      <c r="J110" s="12"/>
      <c r="K110" s="12"/>
      <c r="L110" s="12"/>
      <c r="M110" s="12"/>
      <c r="N110" s="12"/>
      <c r="O110" s="12"/>
    </row>
    <row r="111" customHeight="1" spans="1:15">
      <c r="A111" s="229"/>
      <c r="B111" s="12"/>
      <c r="C111" s="230"/>
      <c r="D111" s="20" t="s">
        <v>219</v>
      </c>
      <c r="E111" s="9"/>
      <c r="F111" s="10">
        <v>200</v>
      </c>
      <c r="G111" s="79">
        <f t="shared" si="0"/>
        <v>77038.13</v>
      </c>
      <c r="H111" s="12"/>
      <c r="I111" s="12"/>
      <c r="J111" s="12"/>
      <c r="K111" s="12"/>
      <c r="L111" s="12"/>
      <c r="M111" s="12"/>
      <c r="N111" s="12"/>
      <c r="O111" s="12"/>
    </row>
    <row r="112" customHeight="1" spans="1:15">
      <c r="A112" s="229" t="s">
        <v>291</v>
      </c>
      <c r="B112" s="12"/>
      <c r="C112" s="230" t="s">
        <v>292</v>
      </c>
      <c r="D112" s="20" t="s">
        <v>27</v>
      </c>
      <c r="E112" s="9"/>
      <c r="F112" s="10">
        <v>229</v>
      </c>
      <c r="G112" s="79">
        <f t="shared" si="0"/>
        <v>76809.13</v>
      </c>
      <c r="H112" s="20"/>
      <c r="I112" s="20"/>
      <c r="J112" s="20"/>
      <c r="K112" s="20"/>
      <c r="L112" s="20"/>
      <c r="M112" s="12"/>
      <c r="N112" s="20"/>
      <c r="O112" s="20"/>
    </row>
    <row r="113" customHeight="1" spans="1:13">
      <c r="A113" s="229"/>
      <c r="B113" s="12"/>
      <c r="C113" s="230" t="s">
        <v>293</v>
      </c>
      <c r="D113" s="20" t="s">
        <v>219</v>
      </c>
      <c r="E113" s="9"/>
      <c r="F113" s="10">
        <v>277</v>
      </c>
      <c r="G113" s="79">
        <f t="shared" si="0"/>
        <v>76532.13</v>
      </c>
      <c r="H113" s="20">
        <f>H114-(70000-21593)</f>
        <v>28064.13</v>
      </c>
      <c r="J113" s="105">
        <f>58961.72</f>
        <v>58961.72</v>
      </c>
      <c r="M113" s="20"/>
    </row>
    <row r="114" customHeight="1" spans="1:15">
      <c r="A114" s="229"/>
      <c r="B114" s="12"/>
      <c r="C114" s="230" t="s">
        <v>83</v>
      </c>
      <c r="D114" s="20"/>
      <c r="E114" s="9"/>
      <c r="F114" s="10">
        <v>61</v>
      </c>
      <c r="G114" s="79">
        <f t="shared" si="0"/>
        <v>76471.13</v>
      </c>
      <c r="H114" s="142">
        <f>I114+J114+K114+L114+M114+N114+O114</f>
        <v>76471.13</v>
      </c>
      <c r="I114" s="105">
        <v>57</v>
      </c>
      <c r="J114" s="105">
        <v>59529.72</v>
      </c>
      <c r="K114" s="105">
        <v>1997.9</v>
      </c>
      <c r="L114" s="105">
        <v>0</v>
      </c>
      <c r="M114" s="105">
        <v>12533.51</v>
      </c>
      <c r="N114" s="105">
        <v>1500</v>
      </c>
      <c r="O114" s="105">
        <f>810+43</f>
        <v>853</v>
      </c>
    </row>
    <row r="115" customHeight="1" spans="1:15">
      <c r="A115" s="229"/>
      <c r="B115" s="12"/>
      <c r="C115" s="230"/>
      <c r="D115" s="20"/>
      <c r="E115" s="9"/>
      <c r="F115" s="10"/>
      <c r="G115" s="79"/>
      <c r="H115" s="12"/>
      <c r="I115" s="12"/>
      <c r="J115" s="12"/>
      <c r="K115" s="12"/>
      <c r="L115" s="12"/>
      <c r="M115" s="12"/>
      <c r="N115" s="12"/>
      <c r="O115" s="12"/>
    </row>
    <row r="116" customHeight="1" spans="1:15">
      <c r="A116" s="229"/>
      <c r="B116" s="12"/>
      <c r="C116" s="230"/>
      <c r="D116" s="20"/>
      <c r="E116" s="9"/>
      <c r="F116" s="10"/>
      <c r="G116" s="79"/>
      <c r="H116" s="12"/>
      <c r="I116" s="12"/>
      <c r="J116" s="12"/>
      <c r="K116" s="12"/>
      <c r="L116" s="12"/>
      <c r="M116" s="12"/>
      <c r="N116" s="12"/>
      <c r="O116" s="12"/>
    </row>
    <row r="117" customHeight="1" spans="1:15">
      <c r="A117" s="229"/>
      <c r="B117" s="12"/>
      <c r="C117" s="230"/>
      <c r="D117" s="20"/>
      <c r="E117" s="9"/>
      <c r="F117" s="10"/>
      <c r="G117" s="79"/>
      <c r="H117" s="12"/>
      <c r="I117" s="12"/>
      <c r="J117" s="12"/>
      <c r="K117" s="12"/>
      <c r="L117" s="12"/>
      <c r="M117" s="12"/>
      <c r="N117" s="12"/>
      <c r="O117" s="12"/>
    </row>
    <row r="118" customHeight="1" spans="1:15">
      <c r="A118" s="229"/>
      <c r="B118" s="12"/>
      <c r="C118" s="230"/>
      <c r="D118" s="20"/>
      <c r="E118" s="9"/>
      <c r="F118" s="10"/>
      <c r="G118" s="79"/>
      <c r="H118" s="12"/>
      <c r="I118" s="12"/>
      <c r="J118" s="12"/>
      <c r="K118" s="12"/>
      <c r="L118" s="12"/>
      <c r="M118" s="12"/>
      <c r="N118" s="12"/>
      <c r="O118" s="12"/>
    </row>
    <row r="119" customHeight="1" spans="1:15">
      <c r="A119" s="229"/>
      <c r="B119" s="12"/>
      <c r="C119" s="230"/>
      <c r="D119" s="20"/>
      <c r="E119" s="9"/>
      <c r="F119" s="10"/>
      <c r="G119" s="79"/>
      <c r="H119" s="12"/>
      <c r="I119" s="12"/>
      <c r="J119" s="12"/>
      <c r="K119" s="12"/>
      <c r="L119" s="12"/>
      <c r="M119" s="12"/>
      <c r="N119" s="12"/>
      <c r="O119" s="12"/>
    </row>
    <row r="120" customHeight="1" spans="1:15">
      <c r="A120" s="229"/>
      <c r="B120" s="12"/>
      <c r="C120" s="230"/>
      <c r="D120" s="20"/>
      <c r="E120" s="9"/>
      <c r="F120" s="10"/>
      <c r="G120" s="79"/>
      <c r="H120" s="12"/>
      <c r="I120" s="12"/>
      <c r="J120" s="12"/>
      <c r="K120" s="12"/>
      <c r="L120" s="12"/>
      <c r="M120" s="12"/>
      <c r="N120" s="12"/>
      <c r="O120" s="12"/>
    </row>
    <row r="121" customHeight="1" spans="1:15">
      <c r="A121" s="229"/>
      <c r="B121" s="12"/>
      <c r="C121" s="230"/>
      <c r="D121" s="20"/>
      <c r="E121" s="9"/>
      <c r="F121" s="10"/>
      <c r="G121" s="79"/>
      <c r="H121" s="12"/>
      <c r="I121" s="12"/>
      <c r="J121" s="12"/>
      <c r="K121" s="12"/>
      <c r="L121" s="12"/>
      <c r="M121" s="12"/>
      <c r="N121" s="12"/>
      <c r="O121" s="12"/>
    </row>
    <row r="122" customHeight="1" spans="1:15">
      <c r="A122" s="229"/>
      <c r="B122" s="12"/>
      <c r="C122" s="230"/>
      <c r="D122" s="20"/>
      <c r="E122" s="9"/>
      <c r="F122" s="10"/>
      <c r="G122" s="79"/>
      <c r="H122" s="12"/>
      <c r="I122" s="12"/>
      <c r="J122" s="12"/>
      <c r="K122" s="12"/>
      <c r="L122" s="12"/>
      <c r="M122" s="12"/>
      <c r="N122" s="12"/>
      <c r="O122" s="12"/>
    </row>
    <row r="123" customHeight="1" spans="1:15">
      <c r="A123" s="229"/>
      <c r="B123" s="12"/>
      <c r="C123" s="230"/>
      <c r="D123" s="20"/>
      <c r="E123" s="9"/>
      <c r="F123" s="10"/>
      <c r="G123" s="79"/>
      <c r="H123" s="12"/>
      <c r="I123" s="12"/>
      <c r="J123" s="12"/>
      <c r="K123" s="12"/>
      <c r="L123" s="12"/>
      <c r="M123" s="12"/>
      <c r="N123" s="12"/>
      <c r="O123" s="12"/>
    </row>
    <row r="124" customHeight="1" spans="1:15">
      <c r="A124" s="229"/>
      <c r="B124" s="12"/>
      <c r="C124" s="230"/>
      <c r="D124" s="20"/>
      <c r="E124" s="9"/>
      <c r="F124" s="10"/>
      <c r="G124" s="79"/>
      <c r="H124" s="12"/>
      <c r="I124" s="12"/>
      <c r="J124" s="12"/>
      <c r="K124" s="12"/>
      <c r="L124" s="12"/>
      <c r="M124" s="12"/>
      <c r="N124" s="12"/>
      <c r="O124" s="12"/>
    </row>
    <row r="125" customHeight="1" spans="1:15">
      <c r="A125" s="229"/>
      <c r="B125" s="12"/>
      <c r="C125" s="230"/>
      <c r="D125" s="20"/>
      <c r="E125" s="9"/>
      <c r="F125" s="10"/>
      <c r="G125" s="79"/>
      <c r="H125" s="12"/>
      <c r="I125" s="12"/>
      <c r="J125" s="12"/>
      <c r="K125" s="12"/>
      <c r="L125" s="12"/>
      <c r="M125" s="12"/>
      <c r="N125" s="12"/>
      <c r="O125" s="12"/>
    </row>
    <row r="126" customHeight="1" spans="1:15">
      <c r="A126" s="229"/>
      <c r="B126" s="12"/>
      <c r="C126" s="230"/>
      <c r="D126" s="20"/>
      <c r="E126" s="9"/>
      <c r="F126" s="10"/>
      <c r="G126" s="79"/>
      <c r="H126" s="12"/>
      <c r="I126" s="12"/>
      <c r="J126" s="12"/>
      <c r="K126" s="12"/>
      <c r="L126" s="12"/>
      <c r="M126" s="12"/>
      <c r="N126" s="12"/>
      <c r="O126" s="12"/>
    </row>
    <row r="127" customHeight="1" spans="1:15">
      <c r="A127" s="229"/>
      <c r="B127" s="12"/>
      <c r="C127" s="230"/>
      <c r="D127" s="20"/>
      <c r="E127" s="9"/>
      <c r="F127" s="10"/>
      <c r="G127" s="79"/>
      <c r="H127" s="12"/>
      <c r="I127" s="12"/>
      <c r="J127" s="12"/>
      <c r="K127" s="12"/>
      <c r="L127" s="12"/>
      <c r="M127" s="12"/>
      <c r="N127" s="12"/>
      <c r="O127" s="12"/>
    </row>
    <row r="128" customHeight="1" spans="1:15">
      <c r="A128" s="229"/>
      <c r="B128" s="12"/>
      <c r="C128" s="230"/>
      <c r="D128" s="20"/>
      <c r="E128" s="9"/>
      <c r="F128" s="10"/>
      <c r="G128" s="79"/>
      <c r="H128" s="12"/>
      <c r="I128" s="12"/>
      <c r="J128" s="12"/>
      <c r="K128" s="12"/>
      <c r="L128" s="12"/>
      <c r="M128" s="12"/>
      <c r="N128" s="12"/>
      <c r="O128" s="12"/>
    </row>
    <row r="129" customHeight="1" spans="1:15">
      <c r="A129" s="229"/>
      <c r="B129" s="12"/>
      <c r="C129" s="230"/>
      <c r="D129" s="20"/>
      <c r="E129" s="9"/>
      <c r="F129" s="10"/>
      <c r="G129" s="79"/>
      <c r="H129" s="12"/>
      <c r="I129" s="12"/>
      <c r="J129" s="12"/>
      <c r="K129" s="12"/>
      <c r="L129" s="12"/>
      <c r="M129" s="12"/>
      <c r="N129" s="12"/>
      <c r="O129" s="12"/>
    </row>
    <row r="130" customHeight="1" spans="1:15">
      <c r="A130" s="229"/>
      <c r="B130" s="12"/>
      <c r="C130" s="230"/>
      <c r="D130" s="20"/>
      <c r="E130" s="9"/>
      <c r="F130" s="10"/>
      <c r="G130" s="79"/>
      <c r="H130" s="12"/>
      <c r="I130" s="12"/>
      <c r="J130" s="12"/>
      <c r="K130" s="12"/>
      <c r="L130" s="12"/>
      <c r="M130" s="12"/>
      <c r="N130" s="12"/>
      <c r="O130" s="12"/>
    </row>
    <row r="131" customHeight="1" spans="1:15">
      <c r="A131" s="229"/>
      <c r="B131" s="12"/>
      <c r="C131" s="230"/>
      <c r="D131" s="20"/>
      <c r="E131" s="9"/>
      <c r="F131" s="10"/>
      <c r="G131" s="79"/>
      <c r="H131" s="12"/>
      <c r="I131" s="12"/>
      <c r="J131" s="12"/>
      <c r="K131" s="12"/>
      <c r="L131" s="12"/>
      <c r="M131" s="12"/>
      <c r="N131" s="12"/>
      <c r="O131" s="12"/>
    </row>
    <row r="132" customHeight="1" spans="1:15">
      <c r="A132" s="229"/>
      <c r="B132" s="12"/>
      <c r="C132" s="230"/>
      <c r="D132" s="20"/>
      <c r="E132" s="9"/>
      <c r="F132" s="10"/>
      <c r="G132" s="79"/>
      <c r="H132" s="12"/>
      <c r="I132" s="12"/>
      <c r="J132" s="12"/>
      <c r="K132" s="12"/>
      <c r="L132" s="12"/>
      <c r="M132" s="12"/>
      <c r="N132" s="12"/>
      <c r="O132" s="12"/>
    </row>
    <row r="133" customHeight="1" spans="1:15">
      <c r="A133" s="229"/>
      <c r="B133" s="12"/>
      <c r="C133" s="230"/>
      <c r="D133" s="20"/>
      <c r="E133" s="9"/>
      <c r="F133" s="10"/>
      <c r="G133" s="79"/>
      <c r="H133" s="12"/>
      <c r="I133" s="12"/>
      <c r="J133" s="12"/>
      <c r="K133" s="12"/>
      <c r="L133" s="12"/>
      <c r="M133" s="12"/>
      <c r="N133" s="12"/>
      <c r="O133" s="12"/>
    </row>
    <row r="134" customHeight="1" spans="1:15">
      <c r="A134" s="229"/>
      <c r="B134" s="12"/>
      <c r="C134" s="230"/>
      <c r="D134" s="20"/>
      <c r="E134" s="9"/>
      <c r="F134" s="10"/>
      <c r="G134" s="79"/>
      <c r="H134" s="12"/>
      <c r="I134" s="12"/>
      <c r="J134" s="12"/>
      <c r="K134" s="12"/>
      <c r="L134" s="12"/>
      <c r="M134" s="12"/>
      <c r="N134" s="12"/>
      <c r="O134" s="12"/>
    </row>
    <row r="135" customHeight="1" spans="1:15">
      <c r="A135" s="229"/>
      <c r="B135" s="12"/>
      <c r="C135" s="230"/>
      <c r="D135" s="20"/>
      <c r="E135" s="9"/>
      <c r="F135" s="10"/>
      <c r="G135" s="79"/>
      <c r="H135" s="12"/>
      <c r="I135" s="12"/>
      <c r="J135" s="12"/>
      <c r="K135" s="12"/>
      <c r="L135" s="12"/>
      <c r="M135" s="12"/>
      <c r="N135" s="12"/>
      <c r="O135" s="12"/>
    </row>
    <row r="136" customHeight="1" spans="1:15">
      <c r="A136" s="229"/>
      <c r="B136" s="12"/>
      <c r="C136" s="230"/>
      <c r="D136" s="20"/>
      <c r="E136" s="9"/>
      <c r="F136" s="10"/>
      <c r="G136" s="79"/>
      <c r="H136" s="12"/>
      <c r="I136" s="12"/>
      <c r="J136" s="12"/>
      <c r="K136" s="12"/>
      <c r="L136" s="12"/>
      <c r="M136" s="12"/>
      <c r="N136" s="12"/>
      <c r="O136" s="12"/>
    </row>
    <row r="137" customHeight="1" spans="1:15">
      <c r="A137" s="229"/>
      <c r="B137" s="12"/>
      <c r="C137" s="230"/>
      <c r="D137" s="20"/>
      <c r="E137" s="9"/>
      <c r="F137" s="10"/>
      <c r="G137" s="79"/>
      <c r="H137" s="12"/>
      <c r="I137" s="12"/>
      <c r="J137" s="12"/>
      <c r="K137" s="12"/>
      <c r="L137" s="12"/>
      <c r="M137" s="12"/>
      <c r="N137" s="12"/>
      <c r="O137" s="12"/>
    </row>
    <row r="138" customHeight="1" spans="1:15">
      <c r="A138" s="229"/>
      <c r="B138" s="12"/>
      <c r="C138" s="230"/>
      <c r="D138" s="20"/>
      <c r="E138" s="9"/>
      <c r="F138" s="10"/>
      <c r="G138" s="79"/>
      <c r="H138" s="12"/>
      <c r="I138" s="12"/>
      <c r="J138" s="12"/>
      <c r="K138" s="12"/>
      <c r="L138" s="12"/>
      <c r="M138" s="12"/>
      <c r="N138" s="12"/>
      <c r="O138" s="12"/>
    </row>
    <row r="139" customHeight="1" spans="1:15">
      <c r="A139" s="229"/>
      <c r="B139" s="12"/>
      <c r="C139" s="230"/>
      <c r="D139" s="20"/>
      <c r="E139" s="9"/>
      <c r="F139" s="10"/>
      <c r="G139" s="79"/>
      <c r="H139" s="12"/>
      <c r="I139" s="12"/>
      <c r="J139" s="12"/>
      <c r="K139" s="12"/>
      <c r="L139" s="12"/>
      <c r="M139" s="12"/>
      <c r="N139" s="12"/>
      <c r="O139" s="12"/>
    </row>
    <row r="140" customHeight="1" spans="1:15">
      <c r="A140" s="229"/>
      <c r="B140" s="12"/>
      <c r="C140" s="230"/>
      <c r="D140" s="20"/>
      <c r="E140" s="9"/>
      <c r="F140" s="10"/>
      <c r="G140" s="79"/>
      <c r="H140" s="12"/>
      <c r="I140" s="12"/>
      <c r="J140" s="12"/>
      <c r="K140" s="12"/>
      <c r="L140" s="12"/>
      <c r="M140" s="12"/>
      <c r="N140" s="12"/>
      <c r="O140" s="12"/>
    </row>
    <row r="141" customHeight="1" spans="1:15">
      <c r="A141" s="229"/>
      <c r="B141" s="12"/>
      <c r="C141" s="230"/>
      <c r="D141" s="20"/>
      <c r="E141" s="9"/>
      <c r="F141" s="10"/>
      <c r="G141" s="79"/>
      <c r="H141" s="12"/>
      <c r="I141" s="12"/>
      <c r="J141" s="12"/>
      <c r="K141" s="12"/>
      <c r="L141" s="12"/>
      <c r="M141" s="12"/>
      <c r="N141" s="12"/>
      <c r="O141" s="12"/>
    </row>
    <row r="142" customHeight="1" spans="1:15">
      <c r="A142" s="229"/>
      <c r="B142" s="12"/>
      <c r="C142" s="230"/>
      <c r="D142" s="20"/>
      <c r="E142" s="9"/>
      <c r="F142" s="10"/>
      <c r="G142" s="79"/>
      <c r="H142" s="12"/>
      <c r="I142" s="12"/>
      <c r="J142" s="12"/>
      <c r="K142" s="12"/>
      <c r="L142" s="12"/>
      <c r="M142" s="12"/>
      <c r="N142" s="12"/>
      <c r="O142" s="12"/>
    </row>
    <row r="143" customHeight="1" spans="1:15">
      <c r="A143" s="229"/>
      <c r="B143" s="12"/>
      <c r="C143" s="230"/>
      <c r="D143" s="20"/>
      <c r="E143" s="9"/>
      <c r="F143" s="10"/>
      <c r="G143" s="79"/>
      <c r="H143" s="12"/>
      <c r="I143" s="12"/>
      <c r="J143" s="12"/>
      <c r="K143" s="12"/>
      <c r="L143" s="12"/>
      <c r="M143" s="12"/>
      <c r="N143" s="12"/>
      <c r="O143" s="12"/>
    </row>
    <row r="144" customHeight="1" spans="1:15">
      <c r="A144" s="229"/>
      <c r="B144" s="12"/>
      <c r="C144" s="230"/>
      <c r="D144" s="20"/>
      <c r="E144" s="9"/>
      <c r="F144" s="10"/>
      <c r="G144" s="79"/>
      <c r="H144" s="12"/>
      <c r="I144" s="12"/>
      <c r="J144" s="12"/>
      <c r="K144" s="12"/>
      <c r="L144" s="12"/>
      <c r="M144" s="12"/>
      <c r="N144" s="12"/>
      <c r="O144" s="12"/>
    </row>
    <row r="145" customHeight="1" spans="1:15">
      <c r="A145" s="229"/>
      <c r="B145" s="12"/>
      <c r="C145" s="230"/>
      <c r="D145" s="20"/>
      <c r="E145" s="9"/>
      <c r="F145" s="10"/>
      <c r="G145" s="79"/>
      <c r="H145" s="12"/>
      <c r="I145" s="12"/>
      <c r="J145" s="12"/>
      <c r="K145" s="12"/>
      <c r="L145" s="12"/>
      <c r="M145" s="12"/>
      <c r="N145" s="12"/>
      <c r="O145" s="12"/>
    </row>
    <row r="146" customHeight="1" spans="1:15">
      <c r="A146" s="229"/>
      <c r="B146" s="12"/>
      <c r="C146" s="230"/>
      <c r="D146" s="20"/>
      <c r="E146" s="9"/>
      <c r="F146" s="10"/>
      <c r="G146" s="79"/>
      <c r="H146" s="12"/>
      <c r="I146" s="12"/>
      <c r="J146" s="12"/>
      <c r="K146" s="12"/>
      <c r="L146" s="12"/>
      <c r="M146" s="12"/>
      <c r="N146" s="12"/>
      <c r="O146" s="12"/>
    </row>
    <row r="147" customHeight="1" spans="1:15">
      <c r="A147" s="229"/>
      <c r="B147" s="12"/>
      <c r="C147" s="230"/>
      <c r="D147" s="20"/>
      <c r="E147" s="9"/>
      <c r="F147" s="10"/>
      <c r="G147" s="79"/>
      <c r="H147" s="12"/>
      <c r="I147" s="12"/>
      <c r="J147" s="12"/>
      <c r="K147" s="12"/>
      <c r="L147" s="12"/>
      <c r="M147" s="12"/>
      <c r="N147" s="12"/>
      <c r="O147" s="12"/>
    </row>
    <row r="148" customHeight="1" spans="1:15">
      <c r="A148" s="229"/>
      <c r="B148" s="12"/>
      <c r="C148" s="230"/>
      <c r="D148" s="20"/>
      <c r="E148" s="9"/>
      <c r="F148" s="10"/>
      <c r="G148" s="79"/>
      <c r="H148" s="12"/>
      <c r="I148" s="12"/>
      <c r="J148" s="12"/>
      <c r="K148" s="12"/>
      <c r="L148" s="12"/>
      <c r="M148" s="12"/>
      <c r="N148" s="12"/>
      <c r="O148" s="12"/>
    </row>
    <row r="149" customHeight="1" spans="1:15">
      <c r="A149" s="229"/>
      <c r="B149" s="12"/>
      <c r="C149" s="230"/>
      <c r="D149" s="20"/>
      <c r="E149" s="9"/>
      <c r="F149" s="10"/>
      <c r="G149" s="79"/>
      <c r="H149" s="12"/>
      <c r="I149" s="12"/>
      <c r="J149" s="12"/>
      <c r="K149" s="12"/>
      <c r="L149" s="12"/>
      <c r="M149" s="12"/>
      <c r="N149" s="12"/>
      <c r="O149" s="12"/>
    </row>
    <row r="150" customHeight="1" spans="1:15">
      <c r="A150" s="229"/>
      <c r="B150" s="12"/>
      <c r="C150" s="230"/>
      <c r="D150" s="20"/>
      <c r="E150" s="9"/>
      <c r="F150" s="10"/>
      <c r="G150" s="79"/>
      <c r="H150" s="12"/>
      <c r="I150" s="12"/>
      <c r="J150" s="12"/>
      <c r="K150" s="12"/>
      <c r="L150" s="12"/>
      <c r="M150" s="12"/>
      <c r="N150" s="12"/>
      <c r="O150" s="12"/>
    </row>
    <row r="151" customHeight="1" spans="1:15">
      <c r="A151" s="229"/>
      <c r="B151" s="12"/>
      <c r="C151" s="230"/>
      <c r="D151" s="20"/>
      <c r="E151" s="9"/>
      <c r="F151" s="10"/>
      <c r="G151" s="79"/>
      <c r="H151" s="12"/>
      <c r="I151" s="12"/>
      <c r="J151" s="12"/>
      <c r="K151" s="12"/>
      <c r="L151" s="12"/>
      <c r="M151" s="12"/>
      <c r="N151" s="12"/>
      <c r="O151" s="12"/>
    </row>
    <row r="152" customHeight="1" spans="1:15">
      <c r="A152" s="229"/>
      <c r="B152" s="12"/>
      <c r="C152" s="230"/>
      <c r="D152" s="20"/>
      <c r="E152" s="9"/>
      <c r="F152" s="10"/>
      <c r="G152" s="79"/>
      <c r="H152" s="12"/>
      <c r="I152" s="12"/>
      <c r="J152" s="12"/>
      <c r="K152" s="12"/>
      <c r="L152" s="12"/>
      <c r="M152" s="12"/>
      <c r="N152" s="12"/>
      <c r="O152" s="12"/>
    </row>
    <row r="153" customHeight="1" spans="1:15">
      <c r="A153" s="229"/>
      <c r="B153" s="12"/>
      <c r="C153" s="230"/>
      <c r="D153" s="20"/>
      <c r="E153" s="9"/>
      <c r="F153" s="10"/>
      <c r="G153" s="79"/>
      <c r="H153" s="12"/>
      <c r="I153" s="12"/>
      <c r="J153" s="12"/>
      <c r="K153" s="12"/>
      <c r="L153" s="12"/>
      <c r="M153" s="12"/>
      <c r="N153" s="12"/>
      <c r="O153" s="12"/>
    </row>
    <row r="154" customHeight="1" spans="1:15">
      <c r="A154" s="229"/>
      <c r="B154" s="12"/>
      <c r="C154" s="230"/>
      <c r="D154" s="20"/>
      <c r="E154" s="9"/>
      <c r="F154" s="10"/>
      <c r="G154" s="79"/>
      <c r="H154" s="12"/>
      <c r="I154" s="12"/>
      <c r="J154" s="12"/>
      <c r="K154" s="12"/>
      <c r="L154" s="12"/>
      <c r="M154" s="12"/>
      <c r="N154" s="12"/>
      <c r="O154" s="12"/>
    </row>
    <row r="155" customHeight="1" spans="1:15">
      <c r="A155" s="229"/>
      <c r="B155" s="12"/>
      <c r="C155" s="230"/>
      <c r="D155" s="20"/>
      <c r="E155" s="9"/>
      <c r="F155" s="10"/>
      <c r="G155" s="79"/>
      <c r="H155" s="12"/>
      <c r="I155" s="12"/>
      <c r="J155" s="12"/>
      <c r="K155" s="12"/>
      <c r="L155" s="12"/>
      <c r="M155" s="12"/>
      <c r="N155" s="12"/>
      <c r="O155" s="12"/>
    </row>
    <row r="156" customHeight="1" spans="1:15">
      <c r="A156" s="229"/>
      <c r="B156" s="12"/>
      <c r="C156" s="230"/>
      <c r="D156" s="20"/>
      <c r="E156" s="9"/>
      <c r="F156" s="10"/>
      <c r="G156" s="79"/>
      <c r="H156" s="12"/>
      <c r="I156" s="12"/>
      <c r="J156" s="12"/>
      <c r="K156" s="12"/>
      <c r="L156" s="12"/>
      <c r="M156" s="12"/>
      <c r="N156" s="12"/>
      <c r="O156" s="12"/>
    </row>
    <row r="157" customHeight="1" spans="1:15">
      <c r="A157" s="229"/>
      <c r="B157" s="12"/>
      <c r="C157" s="230"/>
      <c r="D157" s="20"/>
      <c r="E157" s="9"/>
      <c r="F157" s="10"/>
      <c r="G157" s="79"/>
      <c r="H157" s="12"/>
      <c r="I157" s="12"/>
      <c r="J157" s="12"/>
      <c r="K157" s="12"/>
      <c r="L157" s="12"/>
      <c r="M157" s="12"/>
      <c r="N157" s="12"/>
      <c r="O157" s="12"/>
    </row>
    <row r="158" customHeight="1" spans="1:15">
      <c r="A158" s="229"/>
      <c r="B158" s="12"/>
      <c r="C158" s="230"/>
      <c r="D158" s="20"/>
      <c r="E158" s="9"/>
      <c r="F158" s="10"/>
      <c r="G158" s="79"/>
      <c r="H158" s="12"/>
      <c r="I158" s="12"/>
      <c r="J158" s="12"/>
      <c r="K158" s="12"/>
      <c r="L158" s="12"/>
      <c r="M158" s="12"/>
      <c r="N158" s="12"/>
      <c r="O158" s="12"/>
    </row>
    <row r="159" customHeight="1" spans="1:15">
      <c r="A159" s="229"/>
      <c r="B159" s="12"/>
      <c r="C159" s="230"/>
      <c r="D159" s="20"/>
      <c r="E159" s="9"/>
      <c r="F159" s="10"/>
      <c r="G159" s="79"/>
      <c r="H159" s="12"/>
      <c r="I159" s="12"/>
      <c r="J159" s="12"/>
      <c r="K159" s="12"/>
      <c r="L159" s="12"/>
      <c r="M159" s="12"/>
      <c r="N159" s="12"/>
      <c r="O159" s="12"/>
    </row>
    <row r="160" customHeight="1" spans="1:15">
      <c r="A160" s="229"/>
      <c r="B160" s="12"/>
      <c r="C160" s="230"/>
      <c r="D160" s="20"/>
      <c r="E160" s="9"/>
      <c r="F160" s="10"/>
      <c r="G160" s="79"/>
      <c r="H160" s="12"/>
      <c r="I160" s="12"/>
      <c r="J160" s="12"/>
      <c r="K160" s="12"/>
      <c r="L160" s="12"/>
      <c r="M160" s="12"/>
      <c r="N160" s="12"/>
      <c r="O160" s="12"/>
    </row>
    <row r="161" customHeight="1" spans="1:15">
      <c r="A161" s="229"/>
      <c r="B161" s="12"/>
      <c r="C161" s="230"/>
      <c r="D161" s="20"/>
      <c r="E161" s="9"/>
      <c r="F161" s="10"/>
      <c r="G161" s="79"/>
      <c r="H161" s="12"/>
      <c r="I161" s="12"/>
      <c r="J161" s="12"/>
      <c r="K161" s="12"/>
      <c r="L161" s="12"/>
      <c r="M161" s="12"/>
      <c r="N161" s="12"/>
      <c r="O161" s="12"/>
    </row>
    <row r="162" customHeight="1" spans="1:15">
      <c r="A162" s="229"/>
      <c r="B162" s="12"/>
      <c r="C162" s="230"/>
      <c r="D162" s="20"/>
      <c r="E162" s="9"/>
      <c r="F162" s="10"/>
      <c r="G162" s="79"/>
      <c r="H162" s="12"/>
      <c r="I162" s="12"/>
      <c r="J162" s="12"/>
      <c r="K162" s="12"/>
      <c r="L162" s="12"/>
      <c r="M162" s="12"/>
      <c r="N162" s="12"/>
      <c r="O162" s="12"/>
    </row>
    <row r="165" customHeight="1" spans="5:7">
      <c r="E165" s="189" t="s">
        <v>294</v>
      </c>
      <c r="F165" s="189" t="s">
        <v>295</v>
      </c>
      <c r="G165" s="189" t="s">
        <v>6</v>
      </c>
    </row>
    <row r="166" customHeight="1" spans="5:7">
      <c r="E166" s="172">
        <f t="shared" ref="E166:F166" si="4">SUM(E3:E120)</f>
        <v>183786.18</v>
      </c>
      <c r="F166" s="172">
        <f t="shared" si="4"/>
        <v>107315.05</v>
      </c>
      <c r="G166" s="172">
        <f>E166-F166</f>
        <v>76471.13</v>
      </c>
    </row>
    <row r="168" customHeight="1" spans="5:6">
      <c r="E168" s="189" t="s">
        <v>296</v>
      </c>
      <c r="F168" s="172">
        <f>F166-21593-15000-13676</f>
        <v>57046.05</v>
      </c>
    </row>
    <row r="169" customHeight="1" spans="5:6">
      <c r="E169" s="189" t="s">
        <v>297</v>
      </c>
      <c r="F169" s="172">
        <f>F168-4760-650</f>
        <v>51636.05</v>
      </c>
    </row>
    <row r="170" customHeight="1" spans="5:6">
      <c r="E170" s="189" t="s">
        <v>298</v>
      </c>
      <c r="F170" s="172">
        <f>F169-1085-1700-2800-400-180-578</f>
        <v>44893.05</v>
      </c>
    </row>
    <row r="173" customHeight="1" spans="5:7">
      <c r="E173" s="55" t="s">
        <v>27</v>
      </c>
      <c r="F173" s="53">
        <f ca="1">SUMIF(D$3:F$168,"Grocery",F$3:F$168)</f>
        <v>11122.26</v>
      </c>
      <c r="G173" s="56">
        <f ca="1">SUM(F173:F175)</f>
        <v>11972.26</v>
      </c>
    </row>
    <row r="174" customHeight="1" spans="5:7">
      <c r="E174" s="55" t="s">
        <v>224</v>
      </c>
      <c r="F174" s="53">
        <f ca="1">SUMIF(D$3:F$168,"Snacks",F$3:F$168)</f>
        <v>850</v>
      </c>
      <c r="G174" s="57"/>
    </row>
    <row r="175" customHeight="1" spans="5:7">
      <c r="E175" s="55" t="s">
        <v>299</v>
      </c>
      <c r="F175" s="53">
        <f ca="1">SUMIF(D$3:F$167,"Food ",F$3:F$167)</f>
        <v>0</v>
      </c>
      <c r="G175" s="58"/>
    </row>
    <row r="176" customHeight="1" spans="5:6">
      <c r="E176" s="55" t="s">
        <v>245</v>
      </c>
      <c r="F176" s="53">
        <f ca="1">SUMIF(D$3:F$168,"Health",F$3:F$168)</f>
        <v>110</v>
      </c>
    </row>
    <row r="177" customHeight="1" spans="5:8">
      <c r="E177" s="55" t="s">
        <v>54</v>
      </c>
      <c r="F177" s="53">
        <f ca="1">SUMIF(D$3:F$171,"Dress",F$3:F$171)</f>
        <v>0</v>
      </c>
      <c r="G177" s="59"/>
      <c r="H177" s="60"/>
    </row>
    <row r="178" customHeight="1" spans="5:6">
      <c r="E178" s="55" t="s">
        <v>214</v>
      </c>
      <c r="F178" s="53">
        <f ca="1">SUMIF(D$3:F$171,"Home",F$3:F$171)</f>
        <v>60131.27</v>
      </c>
    </row>
    <row r="179" customHeight="1" spans="5:8">
      <c r="E179" s="55" t="s">
        <v>281</v>
      </c>
      <c r="F179" s="53">
        <f ca="1">SUMIF(D$3:F$171,"Tickets",F$3:F$171)</f>
        <v>6828.5</v>
      </c>
      <c r="G179" s="61">
        <f ca="1">SUM(F179:F181)</f>
        <v>8474.5</v>
      </c>
      <c r="H179" s="62"/>
    </row>
    <row r="180" customHeight="1" spans="5:9">
      <c r="E180" s="55" t="s">
        <v>210</v>
      </c>
      <c r="F180" s="53">
        <f ca="1">SUMIF(D$3:F$171,"Transport",F$3:F$171)</f>
        <v>646</v>
      </c>
      <c r="G180" s="66"/>
      <c r="I180" s="67" t="s">
        <v>300</v>
      </c>
    </row>
    <row r="181" customHeight="1" spans="5:9">
      <c r="E181" s="55" t="s">
        <v>201</v>
      </c>
      <c r="F181" s="53">
        <f ca="1">SUMIF(D$3:F$171,"Fuel",F$3:F$171)</f>
        <v>1000</v>
      </c>
      <c r="G181" s="68"/>
      <c r="I181" s="53">
        <f ca="1">F166-F183</f>
        <v>16937.2</v>
      </c>
    </row>
    <row r="182" customHeight="1" spans="5:6">
      <c r="E182" s="55" t="s">
        <v>219</v>
      </c>
      <c r="F182" s="53">
        <f ca="1">SUMIF(D$3:F$171,"Others",F$3:F$171)</f>
        <v>9689.82</v>
      </c>
    </row>
    <row r="183" customHeight="1" spans="5:6">
      <c r="E183" s="69" t="s">
        <v>7</v>
      </c>
      <c r="F183" s="70">
        <f ca="1">SUM(F173:F182)</f>
        <v>90377.85</v>
      </c>
    </row>
  </sheetData>
  <mergeCells count="16">
    <mergeCell ref="N1:O1"/>
    <mergeCell ref="A1:A2"/>
    <mergeCell ref="B1:B2"/>
    <mergeCell ref="C1:C2"/>
    <mergeCell ref="D1:D2"/>
    <mergeCell ref="E1:E2"/>
    <mergeCell ref="F1:F2"/>
    <mergeCell ref="G1:G2"/>
    <mergeCell ref="G173:G175"/>
    <mergeCell ref="G179:G181"/>
    <mergeCell ref="H1:H2"/>
    <mergeCell ref="I1:I2"/>
    <mergeCell ref="J1:J2"/>
    <mergeCell ref="K1:K2"/>
    <mergeCell ref="L1:L2"/>
    <mergeCell ref="M1:M2"/>
  </mergeCells>
  <conditionalFormatting sqref="H68 H76 H86 H91">
    <cfRule type="expression" dxfId="0" priority="1">
      <formula>"F56"</formula>
    </cfRule>
  </conditionalFormatting>
  <dataValidations count="1">
    <dataValidation type="list" allowBlank="1" showErrorMessage="1" sqref="D3:D162">
      <formula1>"Grocery,Others,Home,Food,Snacks,Tickets,Transport,Fuel,Dress,Health"</formula1>
    </dataValidation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88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5">
      <c r="A1" s="163" t="s">
        <v>72</v>
      </c>
      <c r="B1" s="163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206</v>
      </c>
      <c r="K1" s="4" t="s">
        <v>9</v>
      </c>
      <c r="L1" s="4" t="s">
        <v>10</v>
      </c>
      <c r="M1" s="4" t="s">
        <v>11</v>
      </c>
      <c r="N1" s="32" t="s">
        <v>12</v>
      </c>
      <c r="O1" s="33"/>
    </row>
    <row r="2" customHeight="1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 t="s">
        <v>194</v>
      </c>
      <c r="O2" s="4" t="s">
        <v>207</v>
      </c>
    </row>
    <row r="3" customHeight="1" spans="1:15">
      <c r="A3" s="164" t="s">
        <v>301</v>
      </c>
      <c r="B3" s="164"/>
      <c r="C3" s="213" t="s">
        <v>6</v>
      </c>
      <c r="D3" s="77"/>
      <c r="E3" s="76">
        <v>76471.13</v>
      </c>
      <c r="F3" s="78"/>
      <c r="G3" s="79">
        <f>E3-F3</f>
        <v>76471.13</v>
      </c>
      <c r="H3" s="142">
        <f>I3+J3+K3+L3+M3+N3+O3</f>
        <v>76471.13</v>
      </c>
      <c r="I3" s="105">
        <v>57</v>
      </c>
      <c r="J3" s="105">
        <v>59529.72</v>
      </c>
      <c r="K3" s="105">
        <v>1997.9</v>
      </c>
      <c r="L3" s="105">
        <v>0</v>
      </c>
      <c r="M3" s="105">
        <v>12533.51</v>
      </c>
      <c r="N3" s="105">
        <v>1500</v>
      </c>
      <c r="O3" s="105">
        <f>810+43</f>
        <v>853</v>
      </c>
    </row>
    <row r="4" customHeight="1" spans="1:15">
      <c r="A4" s="164"/>
      <c r="B4" s="164"/>
      <c r="C4" s="213" t="s">
        <v>74</v>
      </c>
      <c r="D4" s="77"/>
      <c r="E4" s="76">
        <v>35077</v>
      </c>
      <c r="F4" s="78"/>
      <c r="G4" s="79">
        <f t="shared" ref="G4:G115" si="0">(E4-F4)+G3</f>
        <v>111548.13</v>
      </c>
      <c r="H4" s="79">
        <f>H3-(21593+400+900)</f>
        <v>53578.13</v>
      </c>
      <c r="I4" s="77"/>
      <c r="J4" s="77"/>
      <c r="K4" s="77"/>
      <c r="L4" s="77"/>
      <c r="M4" s="77"/>
      <c r="N4" s="77"/>
      <c r="O4" s="77"/>
    </row>
    <row r="5" customHeight="1" spans="1:15">
      <c r="A5" s="166"/>
      <c r="B5" s="166"/>
      <c r="C5" s="213" t="s">
        <v>196</v>
      </c>
      <c r="D5" s="77"/>
      <c r="E5" s="76">
        <f>174+54</f>
        <v>228</v>
      </c>
      <c r="F5" s="78"/>
      <c r="G5" s="79">
        <f t="shared" si="0"/>
        <v>111776.13</v>
      </c>
      <c r="H5" s="77"/>
      <c r="I5" s="77"/>
      <c r="J5" s="77"/>
      <c r="K5" s="77"/>
      <c r="L5" s="77"/>
      <c r="M5" s="77"/>
      <c r="N5" s="77"/>
      <c r="O5" s="77"/>
    </row>
    <row r="6" customHeight="1" spans="1:15">
      <c r="A6" s="166"/>
      <c r="B6" s="166"/>
      <c r="C6" s="213" t="s">
        <v>21</v>
      </c>
      <c r="D6" s="77" t="s">
        <v>27</v>
      </c>
      <c r="E6" s="76"/>
      <c r="F6" s="78">
        <v>1210</v>
      </c>
      <c r="G6" s="79">
        <f t="shared" si="0"/>
        <v>110566.13</v>
      </c>
      <c r="H6" s="77"/>
      <c r="I6" s="77"/>
      <c r="J6" s="77"/>
      <c r="K6" s="77"/>
      <c r="L6" s="77"/>
      <c r="M6" s="77"/>
      <c r="N6" s="77"/>
      <c r="O6" s="77"/>
    </row>
    <row r="7" customHeight="1" spans="1:15">
      <c r="A7" s="166"/>
      <c r="B7" s="166"/>
      <c r="C7" s="213" t="s">
        <v>55</v>
      </c>
      <c r="D7" s="77" t="s">
        <v>224</v>
      </c>
      <c r="E7" s="76"/>
      <c r="F7" s="78">
        <v>40</v>
      </c>
      <c r="G7" s="79">
        <f t="shared" si="0"/>
        <v>110526.13</v>
      </c>
      <c r="H7" s="77"/>
      <c r="I7" s="77"/>
      <c r="J7" s="77"/>
      <c r="K7" s="77"/>
      <c r="L7" s="77"/>
      <c r="M7" s="77"/>
      <c r="N7" s="77"/>
      <c r="O7" s="77"/>
    </row>
    <row r="8" customHeight="1" spans="1:15">
      <c r="A8" s="166"/>
      <c r="B8" s="166"/>
      <c r="C8" s="213" t="s">
        <v>77</v>
      </c>
      <c r="D8" s="77" t="s">
        <v>219</v>
      </c>
      <c r="E8" s="76"/>
      <c r="F8" s="78">
        <v>10902</v>
      </c>
      <c r="G8" s="79">
        <f t="shared" si="0"/>
        <v>99624.13</v>
      </c>
      <c r="H8" s="77"/>
      <c r="I8" s="77"/>
      <c r="J8" s="77"/>
      <c r="K8" s="77"/>
      <c r="L8" s="77"/>
      <c r="M8" s="77"/>
      <c r="N8" s="77"/>
      <c r="O8" s="77"/>
    </row>
    <row r="9" customHeight="1" spans="1:15">
      <c r="A9" s="166"/>
      <c r="B9" s="166"/>
      <c r="C9" s="213" t="s">
        <v>302</v>
      </c>
      <c r="D9" s="77" t="s">
        <v>219</v>
      </c>
      <c r="E9" s="76"/>
      <c r="F9" s="78">
        <v>3500</v>
      </c>
      <c r="G9" s="79">
        <f t="shared" si="0"/>
        <v>96124.13</v>
      </c>
      <c r="H9" s="77"/>
      <c r="I9" s="77"/>
      <c r="J9" s="77"/>
      <c r="K9" s="77"/>
      <c r="L9" s="77"/>
      <c r="M9" s="77"/>
      <c r="N9" s="77"/>
      <c r="O9" s="77"/>
    </row>
    <row r="10" customHeight="1" spans="1:15">
      <c r="A10" s="166"/>
      <c r="B10" s="166"/>
      <c r="C10" s="213" t="s">
        <v>303</v>
      </c>
      <c r="D10" s="77" t="s">
        <v>219</v>
      </c>
      <c r="E10" s="76"/>
      <c r="F10" s="78">
        <v>263</v>
      </c>
      <c r="G10" s="79">
        <f t="shared" si="0"/>
        <v>95861.13</v>
      </c>
      <c r="H10" s="172"/>
      <c r="I10" s="105"/>
      <c r="J10" s="105"/>
      <c r="K10" s="105"/>
      <c r="L10" s="105"/>
      <c r="M10" s="105"/>
      <c r="N10" s="105"/>
      <c r="O10" s="105"/>
    </row>
    <row r="11" customHeight="1" spans="1:15">
      <c r="A11" s="166"/>
      <c r="B11" s="166"/>
      <c r="C11" s="213" t="s">
        <v>304</v>
      </c>
      <c r="D11" s="77" t="s">
        <v>214</v>
      </c>
      <c r="E11" s="76"/>
      <c r="F11" s="78">
        <v>15000</v>
      </c>
      <c r="G11" s="79">
        <f t="shared" si="0"/>
        <v>80861.13</v>
      </c>
      <c r="H11" s="172"/>
      <c r="I11" s="105"/>
      <c r="J11" s="105"/>
      <c r="K11" s="105"/>
      <c r="L11" s="105"/>
      <c r="M11" s="105"/>
      <c r="N11" s="105"/>
      <c r="O11" s="105"/>
    </row>
    <row r="12" customHeight="1" spans="1:15">
      <c r="A12" s="166"/>
      <c r="B12" s="166"/>
      <c r="C12" s="213"/>
      <c r="D12" s="77" t="s">
        <v>219</v>
      </c>
      <c r="E12" s="76"/>
      <c r="F12" s="78">
        <v>649</v>
      </c>
      <c r="G12" s="79">
        <f t="shared" si="0"/>
        <v>80212.13</v>
      </c>
      <c r="H12" s="172"/>
      <c r="I12" s="105"/>
      <c r="J12" s="105"/>
      <c r="K12" s="105"/>
      <c r="L12" s="105"/>
      <c r="M12" s="105"/>
      <c r="N12" s="105"/>
      <c r="O12" s="105"/>
    </row>
    <row r="13" customHeight="1" spans="1:15">
      <c r="A13" s="166"/>
      <c r="B13" s="166"/>
      <c r="C13" s="213" t="s">
        <v>305</v>
      </c>
      <c r="D13" s="77" t="s">
        <v>27</v>
      </c>
      <c r="E13" s="76"/>
      <c r="F13" s="78">
        <v>80</v>
      </c>
      <c r="G13" s="79">
        <f t="shared" si="0"/>
        <v>80132.13</v>
      </c>
      <c r="H13" s="158"/>
      <c r="I13" s="77"/>
      <c r="J13" s="77"/>
      <c r="K13" s="77"/>
      <c r="L13" s="77"/>
      <c r="M13" s="77"/>
      <c r="N13" s="77"/>
      <c r="O13" s="77"/>
    </row>
    <row r="14" customHeight="1" spans="1:15">
      <c r="A14" s="166"/>
      <c r="B14" s="166"/>
      <c r="C14" s="213" t="s">
        <v>228</v>
      </c>
      <c r="D14" s="77" t="s">
        <v>27</v>
      </c>
      <c r="E14" s="76"/>
      <c r="F14" s="78">
        <v>240</v>
      </c>
      <c r="G14" s="79">
        <f t="shared" si="0"/>
        <v>79892.13</v>
      </c>
      <c r="H14" s="77"/>
      <c r="I14" s="77"/>
      <c r="J14" s="77"/>
      <c r="K14" s="77"/>
      <c r="L14" s="77"/>
      <c r="M14" s="77"/>
      <c r="N14" s="77"/>
      <c r="O14" s="77"/>
    </row>
    <row r="15" customHeight="1" spans="1:15">
      <c r="A15" s="166"/>
      <c r="B15" s="166"/>
      <c r="C15" s="213" t="s">
        <v>268</v>
      </c>
      <c r="D15" s="77" t="s">
        <v>299</v>
      </c>
      <c r="E15" s="76"/>
      <c r="F15" s="78">
        <v>80</v>
      </c>
      <c r="G15" s="79">
        <f t="shared" si="0"/>
        <v>79812.13</v>
      </c>
      <c r="H15" s="77"/>
      <c r="I15" s="77"/>
      <c r="J15" s="77"/>
      <c r="K15" s="77"/>
      <c r="L15" s="77"/>
      <c r="M15" s="77"/>
      <c r="N15" s="77"/>
      <c r="O15" s="77"/>
    </row>
    <row r="16" customHeight="1" spans="1:15">
      <c r="A16" s="166"/>
      <c r="B16" s="166"/>
      <c r="C16" s="213" t="s">
        <v>306</v>
      </c>
      <c r="D16" s="77" t="s">
        <v>224</v>
      </c>
      <c r="E16" s="76"/>
      <c r="F16" s="78">
        <v>30</v>
      </c>
      <c r="G16" s="79">
        <f t="shared" si="0"/>
        <v>79782.13</v>
      </c>
      <c r="H16" s="77"/>
      <c r="I16" s="77"/>
      <c r="J16" s="77"/>
      <c r="K16" s="77"/>
      <c r="L16" s="77"/>
      <c r="M16" s="77"/>
      <c r="N16" s="77"/>
      <c r="O16" s="77"/>
    </row>
    <row r="17" customHeight="1" spans="1:15">
      <c r="A17" s="166"/>
      <c r="B17" s="166"/>
      <c r="C17" s="213" t="s">
        <v>307</v>
      </c>
      <c r="D17" s="77" t="s">
        <v>299</v>
      </c>
      <c r="E17" s="76"/>
      <c r="F17" s="78">
        <v>200</v>
      </c>
      <c r="G17" s="79">
        <f t="shared" si="0"/>
        <v>79582.13</v>
      </c>
      <c r="H17" s="158"/>
      <c r="I17" s="158"/>
      <c r="J17" s="158"/>
      <c r="K17" s="158"/>
      <c r="L17" s="158"/>
      <c r="M17" s="158"/>
      <c r="N17" s="158"/>
      <c r="O17" s="158"/>
    </row>
    <row r="18" customHeight="1" spans="1:15">
      <c r="A18" s="166"/>
      <c r="B18" s="166"/>
      <c r="C18" s="213" t="s">
        <v>228</v>
      </c>
      <c r="D18" s="77" t="s">
        <v>27</v>
      </c>
      <c r="E18" s="76"/>
      <c r="F18" s="78">
        <v>1210.56</v>
      </c>
      <c r="G18" s="79">
        <f t="shared" si="0"/>
        <v>78371.57</v>
      </c>
      <c r="H18" s="158"/>
      <c r="I18" s="158"/>
      <c r="J18" s="158"/>
      <c r="K18" s="158"/>
      <c r="L18" s="158"/>
      <c r="M18" s="158"/>
      <c r="N18" s="158"/>
      <c r="O18" s="158"/>
    </row>
    <row r="19" customHeight="1" spans="1:15">
      <c r="A19" s="166"/>
      <c r="B19" s="166"/>
      <c r="C19" s="213" t="s">
        <v>268</v>
      </c>
      <c r="D19" s="77" t="s">
        <v>299</v>
      </c>
      <c r="E19" s="76"/>
      <c r="F19" s="78">
        <v>85</v>
      </c>
      <c r="G19" s="79">
        <f t="shared" si="0"/>
        <v>78286.57</v>
      </c>
      <c r="H19" s="77"/>
      <c r="I19" s="77"/>
      <c r="J19" s="77"/>
      <c r="K19" s="77"/>
      <c r="L19" s="77"/>
      <c r="M19" s="77"/>
      <c r="N19" s="77"/>
      <c r="O19" s="77"/>
    </row>
    <row r="20" customHeight="1" spans="1:15">
      <c r="A20" s="179"/>
      <c r="B20" s="110"/>
      <c r="C20" s="213"/>
      <c r="D20" s="77" t="s">
        <v>219</v>
      </c>
      <c r="E20" s="76"/>
      <c r="F20" s="78">
        <v>200</v>
      </c>
      <c r="G20" s="79">
        <f t="shared" si="0"/>
        <v>78086.57</v>
      </c>
      <c r="H20" s="77"/>
      <c r="I20" s="77"/>
      <c r="J20" s="77"/>
      <c r="K20" s="77"/>
      <c r="L20" s="77"/>
      <c r="M20" s="77"/>
      <c r="N20" s="77"/>
      <c r="O20" s="77"/>
    </row>
    <row r="21" customHeight="1" spans="1:15">
      <c r="A21" s="166"/>
      <c r="B21" s="166"/>
      <c r="C21" s="213" t="s">
        <v>308</v>
      </c>
      <c r="D21" s="77" t="s">
        <v>201</v>
      </c>
      <c r="E21" s="76"/>
      <c r="F21" s="78">
        <v>200</v>
      </c>
      <c r="G21" s="79">
        <f t="shared" si="0"/>
        <v>77886.57</v>
      </c>
      <c r="H21" s="77"/>
      <c r="I21" s="77"/>
      <c r="J21" s="77"/>
      <c r="K21" s="77"/>
      <c r="L21" s="77"/>
      <c r="M21" s="77"/>
      <c r="N21" s="77"/>
      <c r="O21" s="77"/>
    </row>
    <row r="22" customHeight="1" spans="1:15">
      <c r="A22" s="166"/>
      <c r="B22" s="166"/>
      <c r="C22" s="213" t="s">
        <v>309</v>
      </c>
      <c r="D22" s="77" t="s">
        <v>27</v>
      </c>
      <c r="E22" s="76"/>
      <c r="F22" s="78">
        <v>50</v>
      </c>
      <c r="G22" s="79">
        <f t="shared" si="0"/>
        <v>77836.57</v>
      </c>
      <c r="H22" s="172"/>
      <c r="I22" s="105"/>
      <c r="J22" s="105"/>
      <c r="K22" s="105"/>
      <c r="L22" s="105"/>
      <c r="M22" s="105"/>
      <c r="N22" s="105"/>
      <c r="O22" s="105"/>
    </row>
    <row r="23" customHeight="1" spans="1:13">
      <c r="A23" s="166"/>
      <c r="B23" s="166"/>
      <c r="C23" s="213" t="s">
        <v>310</v>
      </c>
      <c r="D23" s="77" t="s">
        <v>224</v>
      </c>
      <c r="E23" s="76"/>
      <c r="F23" s="78">
        <v>524</v>
      </c>
      <c r="G23" s="79">
        <f t="shared" si="0"/>
        <v>77312.57</v>
      </c>
      <c r="H23" s="20">
        <f>H24-(70000-21593)</f>
        <v>28791.57</v>
      </c>
      <c r="J23" s="105"/>
      <c r="M23" s="20"/>
    </row>
    <row r="24" customHeight="1" spans="1:15">
      <c r="A24" s="166" t="s">
        <v>311</v>
      </c>
      <c r="B24" s="166"/>
      <c r="C24" s="213" t="s">
        <v>83</v>
      </c>
      <c r="D24" s="77"/>
      <c r="E24" s="76"/>
      <c r="F24" s="78">
        <v>114</v>
      </c>
      <c r="G24" s="79">
        <f t="shared" si="0"/>
        <v>77198.57</v>
      </c>
      <c r="H24" s="142">
        <f>I24+J24+K24+L24+M24+N24+O24</f>
        <v>77198.57</v>
      </c>
      <c r="I24" s="105">
        <v>57</v>
      </c>
      <c r="J24" s="105">
        <v>59005.72</v>
      </c>
      <c r="K24" s="105">
        <v>2007.9</v>
      </c>
      <c r="L24" s="105">
        <v>0</v>
      </c>
      <c r="M24" s="105">
        <v>14094.95</v>
      </c>
      <c r="N24" s="105">
        <v>1500</v>
      </c>
      <c r="O24" s="105">
        <f>460+40+30+3</f>
        <v>533</v>
      </c>
    </row>
    <row r="25" customHeight="1" spans="1:15">
      <c r="A25" s="169"/>
      <c r="B25" s="169"/>
      <c r="C25" s="217" t="s">
        <v>39</v>
      </c>
      <c r="D25" s="86" t="s">
        <v>27</v>
      </c>
      <c r="E25" s="83"/>
      <c r="F25" s="84">
        <v>161</v>
      </c>
      <c r="G25" s="85">
        <f t="shared" si="0"/>
        <v>77037.57</v>
      </c>
      <c r="H25" s="111"/>
      <c r="I25" s="111"/>
      <c r="J25" s="111"/>
      <c r="K25" s="111"/>
      <c r="L25" s="111"/>
      <c r="M25" s="111"/>
      <c r="N25" s="111"/>
      <c r="O25" s="111"/>
    </row>
    <row r="26" customHeight="1" spans="1:15">
      <c r="A26" s="166"/>
      <c r="B26" s="166"/>
      <c r="C26" s="213" t="s">
        <v>37</v>
      </c>
      <c r="D26" s="77" t="s">
        <v>299</v>
      </c>
      <c r="E26" s="76"/>
      <c r="F26" s="78">
        <v>400</v>
      </c>
      <c r="G26" s="79">
        <f t="shared" si="0"/>
        <v>76637.57</v>
      </c>
      <c r="H26" s="110"/>
      <c r="I26" s="110"/>
      <c r="J26" s="110"/>
      <c r="K26" s="110"/>
      <c r="L26" s="110"/>
      <c r="M26" s="110"/>
      <c r="N26" s="110"/>
      <c r="O26" s="110"/>
    </row>
    <row r="27" customHeight="1" spans="1:15">
      <c r="A27" s="166"/>
      <c r="B27" s="166"/>
      <c r="C27" s="213" t="s">
        <v>312</v>
      </c>
      <c r="D27" s="77" t="s">
        <v>214</v>
      </c>
      <c r="E27" s="76"/>
      <c r="F27" s="78">
        <v>150</v>
      </c>
      <c r="G27" s="79">
        <f t="shared" si="0"/>
        <v>76487.57</v>
      </c>
      <c r="H27" s="110"/>
      <c r="I27" s="110"/>
      <c r="J27" s="110"/>
      <c r="K27" s="110"/>
      <c r="L27" s="110"/>
      <c r="M27" s="110"/>
      <c r="N27" s="110"/>
      <c r="O27" s="110"/>
    </row>
    <row r="28" customHeight="1" spans="1:7">
      <c r="A28" s="166"/>
      <c r="B28" s="166"/>
      <c r="C28" s="213" t="s">
        <v>58</v>
      </c>
      <c r="D28" s="77" t="s">
        <v>224</v>
      </c>
      <c r="E28" s="76"/>
      <c r="F28" s="78">
        <v>130</v>
      </c>
      <c r="G28" s="79">
        <f t="shared" si="0"/>
        <v>76357.57</v>
      </c>
    </row>
    <row r="29" customHeight="1" spans="1:7">
      <c r="A29" s="166"/>
      <c r="B29" s="166"/>
      <c r="C29" s="213" t="s">
        <v>39</v>
      </c>
      <c r="D29" s="77" t="s">
        <v>27</v>
      </c>
      <c r="E29" s="76"/>
      <c r="F29" s="78">
        <v>154</v>
      </c>
      <c r="G29" s="79">
        <f t="shared" si="0"/>
        <v>76203.57</v>
      </c>
    </row>
    <row r="30" customHeight="1" spans="1:15">
      <c r="A30" s="166"/>
      <c r="B30" s="166"/>
      <c r="C30" s="213" t="s">
        <v>20</v>
      </c>
      <c r="D30" s="77" t="s">
        <v>224</v>
      </c>
      <c r="E30" s="76"/>
      <c r="F30" s="78">
        <v>20</v>
      </c>
      <c r="G30" s="79">
        <f t="shared" si="0"/>
        <v>76183.57</v>
      </c>
      <c r="H30" s="110"/>
      <c r="I30" s="110"/>
      <c r="J30" s="110"/>
      <c r="K30" s="110"/>
      <c r="L30" s="110"/>
      <c r="M30" s="110"/>
      <c r="N30" s="110"/>
      <c r="O30" s="110"/>
    </row>
    <row r="31" customHeight="1" spans="1:15">
      <c r="A31" s="166"/>
      <c r="B31" s="166"/>
      <c r="C31" s="213" t="s">
        <v>313</v>
      </c>
      <c r="D31" s="77" t="s">
        <v>27</v>
      </c>
      <c r="E31" s="76"/>
      <c r="F31" s="78">
        <v>50</v>
      </c>
      <c r="G31" s="79">
        <f t="shared" si="0"/>
        <v>76133.57</v>
      </c>
      <c r="H31" s="124"/>
      <c r="I31" s="125"/>
      <c r="J31" s="125"/>
      <c r="K31" s="125"/>
      <c r="L31" s="125"/>
      <c r="M31" s="125"/>
      <c r="N31" s="124"/>
      <c r="O31" s="124"/>
    </row>
    <row r="32" customHeight="1" spans="1:15">
      <c r="A32" s="166"/>
      <c r="B32" s="166"/>
      <c r="C32" s="213" t="s">
        <v>39</v>
      </c>
      <c r="D32" s="77" t="s">
        <v>27</v>
      </c>
      <c r="E32" s="76"/>
      <c r="F32" s="78">
        <v>84</v>
      </c>
      <c r="G32" s="79">
        <f t="shared" si="0"/>
        <v>76049.57</v>
      </c>
      <c r="H32" s="77"/>
      <c r="I32" s="77"/>
      <c r="J32" s="77"/>
      <c r="K32" s="77"/>
      <c r="L32" s="77"/>
      <c r="M32" s="77"/>
      <c r="N32" s="77"/>
      <c r="O32" s="77"/>
    </row>
    <row r="33" customHeight="1" spans="1:13">
      <c r="A33" s="166"/>
      <c r="B33" s="166"/>
      <c r="C33" s="213" t="s">
        <v>62</v>
      </c>
      <c r="D33" s="77" t="s">
        <v>224</v>
      </c>
      <c r="E33" s="76"/>
      <c r="F33" s="78">
        <v>219</v>
      </c>
      <c r="G33" s="79">
        <f t="shared" si="0"/>
        <v>75830.57</v>
      </c>
      <c r="H33" s="20">
        <f>H34-(70000-21593)</f>
        <v>27363.57</v>
      </c>
      <c r="J33" s="105"/>
      <c r="M33" s="20"/>
    </row>
    <row r="34" customHeight="1" spans="1:15">
      <c r="A34" s="166" t="s">
        <v>314</v>
      </c>
      <c r="B34" s="166"/>
      <c r="C34" s="216" t="s">
        <v>127</v>
      </c>
      <c r="D34" s="77"/>
      <c r="E34" s="76"/>
      <c r="F34" s="78">
        <v>60</v>
      </c>
      <c r="G34" s="79">
        <f t="shared" si="0"/>
        <v>75770.57</v>
      </c>
      <c r="H34" s="142">
        <f>I34+J34+K34+L34+M34+N34+O34</f>
        <v>75770.57</v>
      </c>
      <c r="I34" s="105">
        <v>57</v>
      </c>
      <c r="J34" s="105">
        <v>59005.72</v>
      </c>
      <c r="K34" s="105">
        <v>2007.9</v>
      </c>
      <c r="L34" s="105">
        <v>0</v>
      </c>
      <c r="M34" s="105">
        <v>12776.95</v>
      </c>
      <c r="N34" s="105">
        <v>1500</v>
      </c>
      <c r="O34" s="105">
        <f>300+50+40+30+3</f>
        <v>423</v>
      </c>
    </row>
    <row r="35" customHeight="1" spans="1:15">
      <c r="A35" s="169"/>
      <c r="B35" s="169"/>
      <c r="C35" s="217"/>
      <c r="D35" s="86" t="s">
        <v>219</v>
      </c>
      <c r="E35" s="83"/>
      <c r="F35" s="84">
        <v>200</v>
      </c>
      <c r="G35" s="85">
        <f t="shared" si="0"/>
        <v>75570.57</v>
      </c>
      <c r="H35" s="111"/>
      <c r="I35" s="111"/>
      <c r="J35" s="111"/>
      <c r="K35" s="111"/>
      <c r="L35" s="111"/>
      <c r="M35" s="111"/>
      <c r="N35" s="111"/>
      <c r="O35" s="111"/>
    </row>
    <row r="36" customHeight="1" spans="1:13">
      <c r="A36" s="166"/>
      <c r="B36" s="166"/>
      <c r="C36" s="213" t="s">
        <v>256</v>
      </c>
      <c r="D36" s="77" t="s">
        <v>224</v>
      </c>
      <c r="E36" s="76"/>
      <c r="F36" s="78">
        <v>100</v>
      </c>
      <c r="G36" s="79">
        <f t="shared" si="0"/>
        <v>75470.57</v>
      </c>
      <c r="H36" s="20"/>
      <c r="J36" s="105"/>
      <c r="M36" s="20"/>
    </row>
    <row r="37" customHeight="1" spans="1:15">
      <c r="A37" s="166"/>
      <c r="B37" s="166"/>
      <c r="C37" s="213" t="s">
        <v>59</v>
      </c>
      <c r="D37" s="77" t="s">
        <v>299</v>
      </c>
      <c r="E37" s="76"/>
      <c r="F37" s="78">
        <v>290</v>
      </c>
      <c r="G37" s="79">
        <f t="shared" si="0"/>
        <v>75180.57</v>
      </c>
      <c r="H37" s="12"/>
      <c r="I37" s="105"/>
      <c r="J37" s="105"/>
      <c r="K37" s="105"/>
      <c r="L37" s="105"/>
      <c r="M37" s="105"/>
      <c r="N37" s="105"/>
      <c r="O37" s="105"/>
    </row>
    <row r="38" customHeight="1" spans="1:15">
      <c r="A38" s="166"/>
      <c r="B38" s="166"/>
      <c r="C38" s="213" t="s">
        <v>315</v>
      </c>
      <c r="D38" s="77" t="s">
        <v>27</v>
      </c>
      <c r="E38" s="76"/>
      <c r="F38" s="78">
        <v>39</v>
      </c>
      <c r="G38" s="79">
        <f t="shared" si="0"/>
        <v>75141.57</v>
      </c>
      <c r="H38" s="110"/>
      <c r="I38" s="110"/>
      <c r="J38" s="110"/>
      <c r="K38" s="110"/>
      <c r="L38" s="110"/>
      <c r="M38" s="110"/>
      <c r="N38" s="110"/>
      <c r="O38" s="110"/>
    </row>
    <row r="39" customHeight="1" spans="1:15">
      <c r="A39" s="166"/>
      <c r="B39" s="166"/>
      <c r="C39" s="213" t="s">
        <v>316</v>
      </c>
      <c r="D39" s="77" t="s">
        <v>27</v>
      </c>
      <c r="E39" s="76"/>
      <c r="F39" s="78">
        <v>80</v>
      </c>
      <c r="G39" s="79">
        <f t="shared" si="0"/>
        <v>75061.57</v>
      </c>
      <c r="H39" s="110"/>
      <c r="I39" s="110"/>
      <c r="J39" s="110"/>
      <c r="K39" s="110"/>
      <c r="L39" s="110"/>
      <c r="M39" s="110"/>
      <c r="N39" s="110"/>
      <c r="O39" s="110"/>
    </row>
    <row r="40" customHeight="1" spans="1:15">
      <c r="A40" s="166"/>
      <c r="B40" s="166"/>
      <c r="C40" s="213" t="s">
        <v>22</v>
      </c>
      <c r="D40" s="77" t="s">
        <v>299</v>
      </c>
      <c r="E40" s="76"/>
      <c r="F40" s="78">
        <v>370</v>
      </c>
      <c r="G40" s="79">
        <f t="shared" si="0"/>
        <v>74691.57</v>
      </c>
      <c r="H40" s="110"/>
      <c r="I40" s="110"/>
      <c r="J40" s="110"/>
      <c r="K40" s="110"/>
      <c r="L40" s="110"/>
      <c r="M40" s="110"/>
      <c r="N40" s="110"/>
      <c r="O40" s="110"/>
    </row>
    <row r="41" customHeight="1" spans="1:15">
      <c r="A41" s="166"/>
      <c r="B41" s="166"/>
      <c r="C41" s="213" t="s">
        <v>38</v>
      </c>
      <c r="D41" s="77" t="s">
        <v>201</v>
      </c>
      <c r="E41" s="76"/>
      <c r="F41" s="78">
        <v>200</v>
      </c>
      <c r="G41" s="79">
        <f t="shared" si="0"/>
        <v>74491.57</v>
      </c>
      <c r="H41" s="77"/>
      <c r="I41" s="77"/>
      <c r="J41" s="77"/>
      <c r="K41" s="77"/>
      <c r="L41" s="77"/>
      <c r="M41" s="77"/>
      <c r="N41" s="77"/>
      <c r="O41" s="77"/>
    </row>
    <row r="42" customHeight="1" spans="1:13">
      <c r="A42" s="166"/>
      <c r="B42" s="166"/>
      <c r="C42" s="213" t="s">
        <v>317</v>
      </c>
      <c r="D42" s="77"/>
      <c r="E42" s="76">
        <v>10000</v>
      </c>
      <c r="F42" s="78"/>
      <c r="G42" s="79">
        <f t="shared" si="0"/>
        <v>84491.57</v>
      </c>
      <c r="H42" s="20">
        <f>H43-(70000+10000-21593)</f>
        <v>26029.57</v>
      </c>
      <c r="J42" s="105"/>
      <c r="M42" s="20"/>
    </row>
    <row r="43" customHeight="1" spans="1:15">
      <c r="A43" s="166" t="s">
        <v>263</v>
      </c>
      <c r="B43" s="166"/>
      <c r="C43" s="213" t="s">
        <v>20</v>
      </c>
      <c r="D43" s="77" t="s">
        <v>224</v>
      </c>
      <c r="E43" s="76"/>
      <c r="F43" s="78">
        <f>20+35</f>
        <v>55</v>
      </c>
      <c r="G43" s="79">
        <f t="shared" si="0"/>
        <v>84436.57</v>
      </c>
      <c r="H43" s="142">
        <f>I43+J43+K43+L43+M43+N43+O43</f>
        <v>84436.57</v>
      </c>
      <c r="I43" s="105">
        <v>57</v>
      </c>
      <c r="J43" s="105">
        <f>59005.72+9500</f>
        <v>68505.72</v>
      </c>
      <c r="K43" s="105">
        <v>2007.9</v>
      </c>
      <c r="L43" s="105">
        <v>0</v>
      </c>
      <c r="M43" s="105">
        <v>11897.95</v>
      </c>
      <c r="N43" s="105">
        <v>1500</v>
      </c>
      <c r="O43" s="105">
        <f>410+28+30</f>
        <v>468</v>
      </c>
    </row>
    <row r="44" customHeight="1" spans="1:15">
      <c r="A44" s="169" t="s">
        <v>318</v>
      </c>
      <c r="B44" s="169"/>
      <c r="C44" s="217" t="s">
        <v>17</v>
      </c>
      <c r="D44" s="86" t="s">
        <v>299</v>
      </c>
      <c r="E44" s="83"/>
      <c r="F44" s="84">
        <v>40</v>
      </c>
      <c r="G44" s="85">
        <f t="shared" si="0"/>
        <v>84396.57</v>
      </c>
      <c r="H44" s="111"/>
      <c r="I44" s="111"/>
      <c r="J44" s="111"/>
      <c r="K44" s="111"/>
      <c r="L44" s="111"/>
      <c r="M44" s="111"/>
      <c r="N44" s="111"/>
      <c r="O44" s="111"/>
    </row>
    <row r="45" customHeight="1" spans="1:15">
      <c r="A45" s="166" t="s">
        <v>319</v>
      </c>
      <c r="B45" s="166"/>
      <c r="C45" s="213" t="s">
        <v>121</v>
      </c>
      <c r="D45" s="77" t="s">
        <v>219</v>
      </c>
      <c r="E45" s="76"/>
      <c r="F45" s="78">
        <v>999</v>
      </c>
      <c r="G45" s="79">
        <f t="shared" si="0"/>
        <v>83397.57</v>
      </c>
      <c r="H45" s="77"/>
      <c r="I45" s="77"/>
      <c r="J45" s="77"/>
      <c r="K45" s="77"/>
      <c r="L45" s="77"/>
      <c r="M45" s="77"/>
      <c r="N45" s="77"/>
      <c r="O45" s="77"/>
    </row>
    <row r="46" customHeight="1" spans="1:15">
      <c r="A46" s="166"/>
      <c r="B46" s="166"/>
      <c r="C46" s="213" t="s">
        <v>17</v>
      </c>
      <c r="D46" s="77" t="s">
        <v>299</v>
      </c>
      <c r="E46" s="76"/>
      <c r="F46" s="78">
        <v>75</v>
      </c>
      <c r="G46" s="79">
        <f t="shared" si="0"/>
        <v>83322.57</v>
      </c>
      <c r="H46" s="110"/>
      <c r="I46" s="110"/>
      <c r="J46" s="110"/>
      <c r="K46" s="110"/>
      <c r="L46" s="110"/>
      <c r="M46" s="110"/>
      <c r="N46" s="110"/>
      <c r="O46" s="110"/>
    </row>
    <row r="47" customHeight="1" spans="1:15">
      <c r="A47" s="166"/>
      <c r="B47" s="166"/>
      <c r="C47" s="213" t="s">
        <v>320</v>
      </c>
      <c r="D47" s="77" t="s">
        <v>224</v>
      </c>
      <c r="E47" s="76"/>
      <c r="F47" s="78">
        <v>35</v>
      </c>
      <c r="G47" s="79">
        <f t="shared" si="0"/>
        <v>83287.57</v>
      </c>
      <c r="H47" s="77"/>
      <c r="I47" s="77"/>
      <c r="J47" s="77"/>
      <c r="K47" s="77"/>
      <c r="L47" s="77"/>
      <c r="M47" s="77"/>
      <c r="N47" s="77"/>
      <c r="O47" s="77"/>
    </row>
    <row r="48" customHeight="1" spans="1:15">
      <c r="A48" s="166"/>
      <c r="B48" s="166"/>
      <c r="C48" s="213" t="s">
        <v>47</v>
      </c>
      <c r="D48" s="77" t="s">
        <v>281</v>
      </c>
      <c r="E48" s="76"/>
      <c r="F48" s="78">
        <v>590</v>
      </c>
      <c r="G48" s="79">
        <f t="shared" si="0"/>
        <v>82697.57</v>
      </c>
      <c r="H48" s="172"/>
      <c r="I48" s="105"/>
      <c r="J48" s="105"/>
      <c r="K48" s="105"/>
      <c r="L48" s="105"/>
      <c r="M48" s="105"/>
      <c r="N48" s="105"/>
      <c r="O48" s="105"/>
    </row>
    <row r="49" customHeight="1" spans="1:15">
      <c r="A49" s="166"/>
      <c r="B49" s="166"/>
      <c r="C49" s="213" t="s">
        <v>136</v>
      </c>
      <c r="D49" s="77" t="s">
        <v>281</v>
      </c>
      <c r="E49" s="76"/>
      <c r="F49" s="78">
        <v>440</v>
      </c>
      <c r="G49" s="79">
        <f t="shared" si="0"/>
        <v>82257.57</v>
      </c>
      <c r="H49" s="110"/>
      <c r="I49" s="110"/>
      <c r="J49" s="110"/>
      <c r="K49" s="110"/>
      <c r="L49" s="110"/>
      <c r="M49" s="110"/>
      <c r="N49" s="110"/>
      <c r="O49" s="110"/>
    </row>
    <row r="50" customHeight="1" spans="1:15">
      <c r="A50" s="166"/>
      <c r="B50" s="166"/>
      <c r="C50" s="213" t="s">
        <v>20</v>
      </c>
      <c r="D50" s="77" t="s">
        <v>224</v>
      </c>
      <c r="E50" s="76"/>
      <c r="F50" s="78">
        <v>190</v>
      </c>
      <c r="G50" s="79">
        <f t="shared" si="0"/>
        <v>82067.57</v>
      </c>
      <c r="H50" s="110"/>
      <c r="I50" s="110"/>
      <c r="J50" s="110"/>
      <c r="K50" s="110"/>
      <c r="L50" s="110"/>
      <c r="M50" s="228"/>
      <c r="N50" s="110"/>
      <c r="O50" s="110"/>
    </row>
    <row r="51" customHeight="1" spans="1:15">
      <c r="A51" s="166"/>
      <c r="B51" s="166"/>
      <c r="C51" s="213" t="s">
        <v>185</v>
      </c>
      <c r="D51" s="77" t="s">
        <v>27</v>
      </c>
      <c r="E51" s="76"/>
      <c r="F51" s="78">
        <v>673</v>
      </c>
      <c r="G51" s="79">
        <f t="shared" si="0"/>
        <v>81394.57</v>
      </c>
      <c r="H51" s="110"/>
      <c r="I51" s="110"/>
      <c r="J51" s="110"/>
      <c r="K51" s="110"/>
      <c r="L51" s="110"/>
      <c r="M51" s="110"/>
      <c r="N51" s="110"/>
      <c r="O51" s="110"/>
    </row>
    <row r="52" customHeight="1" spans="1:15">
      <c r="A52" s="166"/>
      <c r="B52" s="166"/>
      <c r="C52" s="213" t="s">
        <v>321</v>
      </c>
      <c r="D52" s="77" t="s">
        <v>214</v>
      </c>
      <c r="E52" s="76"/>
      <c r="F52" s="78">
        <v>195</v>
      </c>
      <c r="G52" s="79">
        <f t="shared" si="0"/>
        <v>81199.57</v>
      </c>
      <c r="H52" s="110"/>
      <c r="I52" s="110"/>
      <c r="J52" s="110"/>
      <c r="K52" s="110"/>
      <c r="L52" s="110"/>
      <c r="M52" s="110"/>
      <c r="N52" s="110"/>
      <c r="O52" s="110"/>
    </row>
    <row r="53" customHeight="1" spans="1:7">
      <c r="A53" s="166"/>
      <c r="B53" s="166"/>
      <c r="C53" s="213" t="s">
        <v>199</v>
      </c>
      <c r="D53" s="77" t="s">
        <v>210</v>
      </c>
      <c r="E53" s="76"/>
      <c r="F53" s="78">
        <v>72</v>
      </c>
      <c r="G53" s="79">
        <f t="shared" si="0"/>
        <v>81127.57</v>
      </c>
    </row>
    <row r="54" customHeight="1" spans="1:7">
      <c r="A54" s="166"/>
      <c r="B54" s="166"/>
      <c r="C54" s="213" t="s">
        <v>132</v>
      </c>
      <c r="D54" s="77" t="s">
        <v>210</v>
      </c>
      <c r="E54" s="76"/>
      <c r="F54" s="78">
        <v>120</v>
      </c>
      <c r="G54" s="79">
        <f t="shared" si="0"/>
        <v>81007.57</v>
      </c>
    </row>
    <row r="55" customHeight="1" spans="1:15">
      <c r="A55" s="183"/>
      <c r="B55" s="110"/>
      <c r="C55" s="213" t="s">
        <v>143</v>
      </c>
      <c r="D55" s="77" t="s">
        <v>224</v>
      </c>
      <c r="E55" s="76"/>
      <c r="F55" s="78">
        <v>20</v>
      </c>
      <c r="G55" s="79">
        <f t="shared" si="0"/>
        <v>80987.57</v>
      </c>
      <c r="H55" s="110"/>
      <c r="I55" s="110"/>
      <c r="J55" s="110"/>
      <c r="K55" s="110"/>
      <c r="L55" s="110"/>
      <c r="M55" s="110"/>
      <c r="N55" s="110"/>
      <c r="O55" s="110"/>
    </row>
    <row r="56" customHeight="1" spans="1:13">
      <c r="A56" s="179"/>
      <c r="B56" s="110"/>
      <c r="C56" s="213" t="s">
        <v>19</v>
      </c>
      <c r="D56" s="77" t="s">
        <v>27</v>
      </c>
      <c r="E56" s="76"/>
      <c r="F56" s="78">
        <v>50</v>
      </c>
      <c r="G56" s="79">
        <f t="shared" si="0"/>
        <v>80937.57</v>
      </c>
      <c r="H56" s="20"/>
      <c r="J56" s="105"/>
      <c r="M56" s="20"/>
    </row>
    <row r="57" customHeight="1" spans="1:13">
      <c r="A57" s="179"/>
      <c r="B57" s="110"/>
      <c r="C57" s="213" t="s">
        <v>322</v>
      </c>
      <c r="D57" s="77" t="s">
        <v>210</v>
      </c>
      <c r="E57" s="76"/>
      <c r="F57" s="78">
        <v>200</v>
      </c>
      <c r="G57" s="79">
        <f t="shared" si="0"/>
        <v>80737.57</v>
      </c>
      <c r="H57" s="21">
        <f>H58-(70000+10000-21593)</f>
        <v>20054.57</v>
      </c>
      <c r="J57" s="105"/>
      <c r="M57" s="20"/>
    </row>
    <row r="58" customHeight="1" spans="1:15">
      <c r="A58" s="183" t="s">
        <v>323</v>
      </c>
      <c r="B58" s="110"/>
      <c r="C58" s="215" t="s">
        <v>324</v>
      </c>
      <c r="D58" s="168" t="s">
        <v>219</v>
      </c>
      <c r="E58" s="18"/>
      <c r="F58" s="19">
        <v>2276</v>
      </c>
      <c r="G58" s="79">
        <f t="shared" si="0"/>
        <v>78461.57</v>
      </c>
      <c r="H58" s="142">
        <f>I58+J58+K58+L58+M58+N58+O58</f>
        <v>78461.57</v>
      </c>
      <c r="I58" s="105">
        <v>57</v>
      </c>
      <c r="J58" s="105">
        <v>56729.72</v>
      </c>
      <c r="K58" s="105">
        <v>2007.9</v>
      </c>
      <c r="L58" s="105">
        <v>0</v>
      </c>
      <c r="M58" s="105">
        <v>8588.95</v>
      </c>
      <c r="N58" s="105">
        <f>1500+8500</f>
        <v>10000</v>
      </c>
      <c r="O58" s="105">
        <f>1000+40+5+3+30</f>
        <v>1078</v>
      </c>
    </row>
    <row r="59" customHeight="1" spans="1:15">
      <c r="A59" s="226"/>
      <c r="B59" s="111"/>
      <c r="C59" s="217"/>
      <c r="D59" s="86" t="s">
        <v>219</v>
      </c>
      <c r="E59" s="83"/>
      <c r="F59" s="84">
        <v>300</v>
      </c>
      <c r="G59" s="85">
        <f t="shared" si="0"/>
        <v>78161.57</v>
      </c>
      <c r="H59" s="111"/>
      <c r="I59" s="111"/>
      <c r="J59" s="188"/>
      <c r="K59" s="111"/>
      <c r="L59" s="111"/>
      <c r="M59" s="111"/>
      <c r="N59" s="111"/>
      <c r="O59" s="111"/>
    </row>
    <row r="60" customHeight="1" spans="1:7">
      <c r="A60" s="183"/>
      <c r="B60" s="110"/>
      <c r="C60" s="213" t="s">
        <v>325</v>
      </c>
      <c r="D60" s="77" t="s">
        <v>299</v>
      </c>
      <c r="E60" s="76"/>
      <c r="F60" s="78">
        <v>205</v>
      </c>
      <c r="G60" s="79">
        <f t="shared" si="0"/>
        <v>77956.57</v>
      </c>
    </row>
    <row r="61" customHeight="1" spans="1:15">
      <c r="A61" s="183"/>
      <c r="B61" s="110"/>
      <c r="C61" s="213" t="s">
        <v>321</v>
      </c>
      <c r="D61" s="77" t="s">
        <v>214</v>
      </c>
      <c r="E61" s="76"/>
      <c r="F61" s="78">
        <v>79</v>
      </c>
      <c r="G61" s="79">
        <f t="shared" si="0"/>
        <v>77877.57</v>
      </c>
      <c r="H61" s="110"/>
      <c r="I61" s="110"/>
      <c r="J61" s="110"/>
      <c r="K61" s="110"/>
      <c r="L61" s="110"/>
      <c r="M61" s="110"/>
      <c r="N61" s="110"/>
      <c r="O61" s="110"/>
    </row>
    <row r="62" customHeight="1" spans="1:15">
      <c r="A62" s="183"/>
      <c r="B62" s="110"/>
      <c r="C62" s="213" t="s">
        <v>326</v>
      </c>
      <c r="D62" s="77" t="s">
        <v>27</v>
      </c>
      <c r="E62" s="76"/>
      <c r="F62" s="78">
        <v>117</v>
      </c>
      <c r="G62" s="79">
        <f t="shared" si="0"/>
        <v>77760.57</v>
      </c>
      <c r="H62" s="124"/>
      <c r="I62" s="125"/>
      <c r="J62" s="125"/>
      <c r="K62" s="125"/>
      <c r="L62" s="125"/>
      <c r="M62" s="125"/>
      <c r="N62" s="125"/>
      <c r="O62" s="124"/>
    </row>
    <row r="63" customHeight="1" spans="1:15">
      <c r="A63" s="179"/>
      <c r="B63" s="110"/>
      <c r="C63" s="213" t="s">
        <v>163</v>
      </c>
      <c r="D63" s="77" t="s">
        <v>27</v>
      </c>
      <c r="E63" s="76"/>
      <c r="F63" s="78">
        <v>120</v>
      </c>
      <c r="G63" s="79">
        <f t="shared" si="0"/>
        <v>77640.57</v>
      </c>
      <c r="H63" s="110"/>
      <c r="I63" s="110"/>
      <c r="J63" s="110"/>
      <c r="K63" s="59"/>
      <c r="L63" s="211"/>
      <c r="M63" s="110"/>
      <c r="N63" s="110"/>
      <c r="O63" s="110"/>
    </row>
    <row r="64" customHeight="1" spans="1:15">
      <c r="A64" s="183"/>
      <c r="B64" s="110"/>
      <c r="C64" s="213" t="s">
        <v>55</v>
      </c>
      <c r="D64" s="77" t="s">
        <v>224</v>
      </c>
      <c r="E64" s="76"/>
      <c r="F64" s="78">
        <v>40</v>
      </c>
      <c r="G64" s="79">
        <f t="shared" si="0"/>
        <v>77600.57</v>
      </c>
      <c r="H64" s="110"/>
      <c r="I64" s="110"/>
      <c r="J64" s="110"/>
      <c r="K64" s="59"/>
      <c r="L64" s="211"/>
      <c r="M64" s="110"/>
      <c r="N64" s="110"/>
      <c r="O64" s="110"/>
    </row>
    <row r="65" customHeight="1" spans="1:15">
      <c r="A65" s="183"/>
      <c r="B65" s="110"/>
      <c r="C65" s="213" t="s">
        <v>39</v>
      </c>
      <c r="D65" s="77" t="s">
        <v>27</v>
      </c>
      <c r="E65" s="76"/>
      <c r="F65" s="78">
        <v>166.7</v>
      </c>
      <c r="G65" s="79">
        <f t="shared" si="0"/>
        <v>77433.87</v>
      </c>
      <c r="H65" s="77"/>
      <c r="I65" s="77"/>
      <c r="J65" s="77"/>
      <c r="K65" s="77"/>
      <c r="L65" s="227"/>
      <c r="M65" s="110"/>
      <c r="N65" s="77"/>
      <c r="O65" s="77"/>
    </row>
    <row r="66" customHeight="1" spans="1:15">
      <c r="A66" s="183"/>
      <c r="B66" s="110"/>
      <c r="C66" s="213"/>
      <c r="D66" s="77"/>
      <c r="E66" s="76">
        <v>1248.3</v>
      </c>
      <c r="F66" s="78"/>
      <c r="G66" s="79">
        <f t="shared" si="0"/>
        <v>78682.17</v>
      </c>
      <c r="H66" s="110"/>
      <c r="I66" s="110"/>
      <c r="J66" s="110"/>
      <c r="K66" s="59"/>
      <c r="L66" s="211"/>
      <c r="M66" s="110"/>
      <c r="N66" s="110"/>
      <c r="O66" s="110"/>
    </row>
    <row r="67" customHeight="1" spans="1:15">
      <c r="A67" s="183"/>
      <c r="B67" s="110"/>
      <c r="C67" s="213" t="s">
        <v>327</v>
      </c>
      <c r="D67" s="77" t="s">
        <v>27</v>
      </c>
      <c r="E67" s="76"/>
      <c r="F67" s="78">
        <v>180</v>
      </c>
      <c r="G67" s="79">
        <f t="shared" si="0"/>
        <v>78502.17</v>
      </c>
      <c r="H67" s="110"/>
      <c r="I67" s="110"/>
      <c r="J67" s="110"/>
      <c r="K67" s="59"/>
      <c r="L67" s="110"/>
      <c r="M67" s="110"/>
      <c r="N67" s="110"/>
      <c r="O67" s="110"/>
    </row>
    <row r="68" customHeight="1" spans="1:15">
      <c r="A68" s="179"/>
      <c r="B68" s="110"/>
      <c r="C68" s="213" t="s">
        <v>188</v>
      </c>
      <c r="D68" s="77" t="s">
        <v>245</v>
      </c>
      <c r="E68" s="76"/>
      <c r="F68" s="78">
        <v>2389</v>
      </c>
      <c r="G68" s="79">
        <f t="shared" si="0"/>
        <v>76113.17</v>
      </c>
      <c r="H68" s="77"/>
      <c r="I68" s="77"/>
      <c r="J68" s="77"/>
      <c r="K68" s="77"/>
      <c r="L68" s="77"/>
      <c r="M68" s="77"/>
      <c r="N68" s="77"/>
      <c r="O68" s="77"/>
    </row>
    <row r="69" customHeight="1" spans="1:15">
      <c r="A69" s="179"/>
      <c r="B69" s="110"/>
      <c r="C69" s="213" t="s">
        <v>39</v>
      </c>
      <c r="D69" s="77" t="s">
        <v>27</v>
      </c>
      <c r="E69" s="76"/>
      <c r="F69" s="78">
        <v>652</v>
      </c>
      <c r="G69" s="79">
        <f t="shared" si="0"/>
        <v>75461.17</v>
      </c>
      <c r="H69" s="110"/>
      <c r="I69" s="110"/>
      <c r="J69" s="110"/>
      <c r="K69" s="110"/>
      <c r="L69" s="110"/>
      <c r="M69" s="110"/>
      <c r="N69" s="110"/>
      <c r="O69" s="110"/>
    </row>
    <row r="70" customHeight="1" spans="1:15">
      <c r="A70" s="183"/>
      <c r="B70" s="110"/>
      <c r="C70" s="213" t="s">
        <v>326</v>
      </c>
      <c r="D70" s="77" t="s">
        <v>27</v>
      </c>
      <c r="E70" s="76"/>
      <c r="F70" s="78">
        <v>128</v>
      </c>
      <c r="G70" s="79">
        <f t="shared" si="0"/>
        <v>75333.17</v>
      </c>
      <c r="H70" s="110"/>
      <c r="I70" s="110"/>
      <c r="J70" s="110"/>
      <c r="K70" s="110"/>
      <c r="L70" s="110"/>
      <c r="M70" s="110"/>
      <c r="N70" s="110"/>
      <c r="O70" s="110"/>
    </row>
    <row r="71" customHeight="1" spans="1:7">
      <c r="A71" s="183"/>
      <c r="B71" s="110"/>
      <c r="C71" s="213" t="s">
        <v>39</v>
      </c>
      <c r="D71" s="77" t="s">
        <v>27</v>
      </c>
      <c r="E71" s="76"/>
      <c r="F71" s="78">
        <v>196</v>
      </c>
      <c r="G71" s="79">
        <f t="shared" si="0"/>
        <v>75137.17</v>
      </c>
    </row>
    <row r="72" customHeight="1" spans="1:7">
      <c r="A72" s="203"/>
      <c r="B72" s="110"/>
      <c r="C72" s="213" t="s">
        <v>17</v>
      </c>
      <c r="D72" s="77" t="s">
        <v>299</v>
      </c>
      <c r="E72" s="76"/>
      <c r="F72" s="78">
        <v>30</v>
      </c>
      <c r="G72" s="79">
        <f t="shared" si="0"/>
        <v>75107.17</v>
      </c>
    </row>
    <row r="73" customHeight="1" spans="1:15">
      <c r="A73" s="183"/>
      <c r="B73" s="110"/>
      <c r="C73" s="213"/>
      <c r="D73" s="77"/>
      <c r="E73" s="76">
        <v>1248.3</v>
      </c>
      <c r="F73" s="78"/>
      <c r="G73" s="79">
        <f t="shared" si="0"/>
        <v>76355.47</v>
      </c>
      <c r="H73" s="110"/>
      <c r="I73" s="110"/>
      <c r="J73" s="110"/>
      <c r="K73" s="110"/>
      <c r="L73" s="110"/>
      <c r="M73" s="110"/>
      <c r="N73" s="110"/>
      <c r="O73" s="110"/>
    </row>
    <row r="74" customHeight="1" spans="1:15">
      <c r="A74" s="183"/>
      <c r="B74" s="110"/>
      <c r="C74" s="213" t="s">
        <v>17</v>
      </c>
      <c r="D74" s="77" t="s">
        <v>299</v>
      </c>
      <c r="E74" s="76"/>
      <c r="F74" s="78">
        <v>75</v>
      </c>
      <c r="G74" s="79">
        <f t="shared" si="0"/>
        <v>76280.47</v>
      </c>
      <c r="H74" s="110"/>
      <c r="I74" s="110"/>
      <c r="J74" s="110"/>
      <c r="K74" s="110"/>
      <c r="L74" s="110"/>
      <c r="M74" s="110"/>
      <c r="N74" s="110"/>
      <c r="O74" s="110"/>
    </row>
    <row r="75" customHeight="1" spans="1:15">
      <c r="A75" s="183"/>
      <c r="B75" s="110"/>
      <c r="C75" s="213"/>
      <c r="D75" s="77"/>
      <c r="E75" s="76">
        <v>22</v>
      </c>
      <c r="F75" s="78"/>
      <c r="G75" s="79">
        <f t="shared" si="0"/>
        <v>76302.47</v>
      </c>
      <c r="H75" s="124"/>
      <c r="I75" s="125"/>
      <c r="J75" s="125"/>
      <c r="K75" s="125"/>
      <c r="L75" s="125"/>
      <c r="M75" s="125"/>
      <c r="N75" s="125"/>
      <c r="O75" s="124"/>
    </row>
    <row r="76" customHeight="1" spans="1:15">
      <c r="A76" s="183" t="s">
        <v>267</v>
      </c>
      <c r="B76" s="110"/>
      <c r="C76" s="213" t="s">
        <v>37</v>
      </c>
      <c r="D76" s="77" t="s">
        <v>299</v>
      </c>
      <c r="E76" s="76"/>
      <c r="F76" s="78">
        <v>105</v>
      </c>
      <c r="G76" s="79">
        <f t="shared" si="0"/>
        <v>76197.47</v>
      </c>
      <c r="H76" s="110"/>
      <c r="I76" s="110"/>
      <c r="J76" s="110"/>
      <c r="K76" s="110"/>
      <c r="L76" s="110"/>
      <c r="M76" s="110"/>
      <c r="N76" s="110"/>
      <c r="O76" s="110"/>
    </row>
    <row r="77" customHeight="1" spans="1:13">
      <c r="A77" s="183"/>
      <c r="B77" s="110"/>
      <c r="C77" s="213"/>
      <c r="D77" s="77"/>
      <c r="E77" s="76">
        <v>6</v>
      </c>
      <c r="F77" s="78"/>
      <c r="G77" s="79">
        <f t="shared" si="0"/>
        <v>76203.47</v>
      </c>
      <c r="H77" s="21">
        <f>H78-(70000+10000-21593)</f>
        <v>16758.47</v>
      </c>
      <c r="J77" s="105"/>
      <c r="M77" s="20"/>
    </row>
    <row r="78" customHeight="1" spans="1:15">
      <c r="A78" s="183"/>
      <c r="B78" s="110"/>
      <c r="C78" s="213" t="s">
        <v>127</v>
      </c>
      <c r="D78" s="77"/>
      <c r="E78" s="76"/>
      <c r="F78" s="78">
        <v>225</v>
      </c>
      <c r="G78" s="79">
        <f t="shared" si="0"/>
        <v>75978.47</v>
      </c>
      <c r="H78" s="142">
        <f>I78+J78+K78+L78+M78+N78+O78</f>
        <v>75165.47</v>
      </c>
      <c r="I78" s="105">
        <v>57</v>
      </c>
      <c r="J78" s="105">
        <v>55916.72</v>
      </c>
      <c r="K78" s="105">
        <v>2007.9</v>
      </c>
      <c r="L78" s="105">
        <v>0</v>
      </c>
      <c r="M78" s="105">
        <v>6630.85</v>
      </c>
      <c r="N78" s="105">
        <f>1500+8500</f>
        <v>10000</v>
      </c>
      <c r="O78" s="105">
        <f>500+20+30+3</f>
        <v>553</v>
      </c>
    </row>
    <row r="79" customHeight="1" spans="1:15">
      <c r="A79" s="184"/>
      <c r="B79" s="111"/>
      <c r="C79" s="217" t="s">
        <v>328</v>
      </c>
      <c r="D79" s="86" t="s">
        <v>224</v>
      </c>
      <c r="E79" s="83"/>
      <c r="F79" s="84">
        <v>40</v>
      </c>
      <c r="G79" s="85">
        <f t="shared" si="0"/>
        <v>75938.47</v>
      </c>
      <c r="H79" s="111"/>
      <c r="I79" s="111"/>
      <c r="J79" s="111"/>
      <c r="K79" s="111"/>
      <c r="L79" s="111"/>
      <c r="M79" s="111"/>
      <c r="N79" s="111"/>
      <c r="O79" s="111"/>
    </row>
    <row r="80" customHeight="1" spans="1:15">
      <c r="A80" s="183"/>
      <c r="B80" s="110"/>
      <c r="C80" s="213" t="s">
        <v>329</v>
      </c>
      <c r="D80" s="77" t="s">
        <v>54</v>
      </c>
      <c r="E80" s="76"/>
      <c r="F80" s="78">
        <v>344</v>
      </c>
      <c r="G80" s="79">
        <f t="shared" si="0"/>
        <v>75594.47</v>
      </c>
      <c r="H80" s="77"/>
      <c r="I80" s="77"/>
      <c r="J80" s="77"/>
      <c r="K80" s="77"/>
      <c r="L80" s="77"/>
      <c r="M80" s="110"/>
      <c r="N80" s="77"/>
      <c r="O80" s="77"/>
    </row>
    <row r="81" customHeight="1" spans="1:15">
      <c r="A81" s="183"/>
      <c r="B81" s="110"/>
      <c r="C81" s="213" t="s">
        <v>330</v>
      </c>
      <c r="D81" s="77" t="s">
        <v>54</v>
      </c>
      <c r="E81" s="76"/>
      <c r="F81" s="78">
        <v>750</v>
      </c>
      <c r="G81" s="79">
        <f t="shared" si="0"/>
        <v>74844.47</v>
      </c>
      <c r="H81" s="110"/>
      <c r="I81" s="110"/>
      <c r="J81" s="110"/>
      <c r="K81" s="110"/>
      <c r="L81" s="110"/>
      <c r="M81" s="110"/>
      <c r="N81" s="110"/>
      <c r="O81" s="110"/>
    </row>
    <row r="82" customHeight="1" spans="1:15">
      <c r="A82" s="183"/>
      <c r="B82" s="110"/>
      <c r="C82" s="213" t="s">
        <v>331</v>
      </c>
      <c r="D82" s="77" t="s">
        <v>27</v>
      </c>
      <c r="E82" s="76"/>
      <c r="F82" s="78">
        <v>50</v>
      </c>
      <c r="G82" s="79">
        <f t="shared" si="0"/>
        <v>74794.47</v>
      </c>
      <c r="H82" s="110"/>
      <c r="I82" s="110"/>
      <c r="J82" s="110"/>
      <c r="K82" s="110"/>
      <c r="L82" s="110"/>
      <c r="M82" s="110"/>
      <c r="N82" s="110"/>
      <c r="O82" s="110"/>
    </row>
    <row r="83" customHeight="1" spans="1:15">
      <c r="A83" s="183"/>
      <c r="B83" s="110"/>
      <c r="C83" s="213" t="s">
        <v>303</v>
      </c>
      <c r="D83" s="77" t="s">
        <v>219</v>
      </c>
      <c r="E83" s="76"/>
      <c r="F83" s="78">
        <v>252</v>
      </c>
      <c r="G83" s="79">
        <f t="shared" si="0"/>
        <v>74542.47</v>
      </c>
      <c r="H83" s="110"/>
      <c r="I83" s="110"/>
      <c r="J83" s="110"/>
      <c r="K83" s="110"/>
      <c r="L83" s="110"/>
      <c r="M83" s="110"/>
      <c r="N83" s="110"/>
      <c r="O83" s="110"/>
    </row>
    <row r="84" customHeight="1" spans="1:15">
      <c r="A84" s="183"/>
      <c r="B84" s="110"/>
      <c r="C84" s="213" t="s">
        <v>332</v>
      </c>
      <c r="D84" s="77" t="s">
        <v>210</v>
      </c>
      <c r="E84" s="76"/>
      <c r="F84" s="78">
        <v>320</v>
      </c>
      <c r="G84" s="79">
        <f t="shared" si="0"/>
        <v>74222.47</v>
      </c>
      <c r="H84" s="110"/>
      <c r="I84" s="110"/>
      <c r="J84" s="110"/>
      <c r="K84" s="110"/>
      <c r="L84" s="110"/>
      <c r="M84" s="110"/>
      <c r="N84" s="110"/>
      <c r="O84" s="110"/>
    </row>
    <row r="85" customHeight="1" spans="1:15">
      <c r="A85" s="183"/>
      <c r="B85" s="110"/>
      <c r="C85" s="213" t="s">
        <v>333</v>
      </c>
      <c r="D85" s="77" t="s">
        <v>27</v>
      </c>
      <c r="E85" s="76"/>
      <c r="F85" s="78">
        <v>20</v>
      </c>
      <c r="G85" s="79">
        <f t="shared" si="0"/>
        <v>74202.47</v>
      </c>
      <c r="H85" s="124"/>
      <c r="I85" s="125"/>
      <c r="J85" s="125"/>
      <c r="K85" s="125"/>
      <c r="L85" s="125"/>
      <c r="M85" s="125"/>
      <c r="N85" s="125"/>
      <c r="O85" s="124"/>
    </row>
    <row r="86" customHeight="1" spans="1:15">
      <c r="A86" s="183"/>
      <c r="B86" s="110"/>
      <c r="C86" s="213" t="s">
        <v>334</v>
      </c>
      <c r="D86" s="77" t="s">
        <v>27</v>
      </c>
      <c r="E86" s="76"/>
      <c r="F86" s="78">
        <v>193</v>
      </c>
      <c r="G86" s="79">
        <f t="shared" si="0"/>
        <v>74009.47</v>
      </c>
      <c r="H86" s="77"/>
      <c r="I86" s="77"/>
      <c r="J86" s="77"/>
      <c r="K86" s="77"/>
      <c r="L86" s="77"/>
      <c r="M86" s="110"/>
      <c r="N86" s="77"/>
      <c r="O86" s="77"/>
    </row>
    <row r="87" customHeight="1" spans="1:15">
      <c r="A87" s="183"/>
      <c r="B87" s="110"/>
      <c r="C87" s="213" t="s">
        <v>335</v>
      </c>
      <c r="D87" s="77" t="s">
        <v>224</v>
      </c>
      <c r="E87" s="76"/>
      <c r="F87" s="78">
        <v>185</v>
      </c>
      <c r="G87" s="79">
        <f t="shared" si="0"/>
        <v>73824.47</v>
      </c>
      <c r="H87" s="110"/>
      <c r="I87" s="110"/>
      <c r="J87" s="110"/>
      <c r="K87" s="110"/>
      <c r="L87" s="110"/>
      <c r="M87" s="110"/>
      <c r="N87" s="110"/>
      <c r="O87" s="110"/>
    </row>
    <row r="88" customHeight="1" spans="1:15">
      <c r="A88" s="183"/>
      <c r="B88" s="110"/>
      <c r="C88" s="213" t="s">
        <v>336</v>
      </c>
      <c r="D88" s="77" t="s">
        <v>299</v>
      </c>
      <c r="E88" s="76"/>
      <c r="F88" s="78">
        <v>118</v>
      </c>
      <c r="G88" s="79">
        <f t="shared" si="0"/>
        <v>73706.47</v>
      </c>
      <c r="H88" s="110"/>
      <c r="I88" s="110"/>
      <c r="J88" s="110"/>
      <c r="K88" s="110"/>
      <c r="L88" s="110"/>
      <c r="M88" s="110"/>
      <c r="N88" s="110"/>
      <c r="O88" s="110"/>
    </row>
    <row r="89" customHeight="1" spans="1:15">
      <c r="A89" s="183"/>
      <c r="B89" s="110"/>
      <c r="C89" s="213" t="s">
        <v>332</v>
      </c>
      <c r="D89" s="77" t="s">
        <v>210</v>
      </c>
      <c r="E89" s="76"/>
      <c r="F89" s="78">
        <v>302</v>
      </c>
      <c r="G89" s="79">
        <f t="shared" si="0"/>
        <v>73404.47</v>
      </c>
      <c r="H89" s="110"/>
      <c r="I89" s="110"/>
      <c r="J89" s="110"/>
      <c r="K89" s="110"/>
      <c r="L89" s="110"/>
      <c r="M89" s="110"/>
      <c r="N89" s="110"/>
      <c r="O89" s="110"/>
    </row>
    <row r="90" customHeight="1" spans="1:7">
      <c r="A90" s="183"/>
      <c r="B90" s="110"/>
      <c r="C90" s="213" t="s">
        <v>17</v>
      </c>
      <c r="D90" s="77" t="s">
        <v>299</v>
      </c>
      <c r="E90" s="76"/>
      <c r="F90" s="78">
        <v>362</v>
      </c>
      <c r="G90" s="79">
        <f t="shared" si="0"/>
        <v>73042.47</v>
      </c>
    </row>
    <row r="91" customHeight="1" spans="1:7">
      <c r="A91" s="183"/>
      <c r="B91" s="110"/>
      <c r="C91" s="213" t="s">
        <v>27</v>
      </c>
      <c r="D91" s="77" t="s">
        <v>27</v>
      </c>
      <c r="E91" s="76"/>
      <c r="F91" s="78">
        <v>327</v>
      </c>
      <c r="G91" s="79">
        <f t="shared" si="0"/>
        <v>72715.47</v>
      </c>
    </row>
    <row r="92" customHeight="1" spans="1:15">
      <c r="A92" s="183"/>
      <c r="B92" s="110"/>
      <c r="C92" s="213" t="s">
        <v>337</v>
      </c>
      <c r="D92" s="77"/>
      <c r="E92" s="76">
        <v>1000</v>
      </c>
      <c r="F92" s="78"/>
      <c r="G92" s="79">
        <f t="shared" si="0"/>
        <v>73715.47</v>
      </c>
      <c r="H92" s="110"/>
      <c r="I92" s="110"/>
      <c r="J92" s="110"/>
      <c r="K92" s="110"/>
      <c r="L92" s="110"/>
      <c r="M92" s="110"/>
      <c r="N92" s="110"/>
      <c r="O92" s="110"/>
    </row>
    <row r="93" customHeight="1" spans="1:15">
      <c r="A93" s="183"/>
      <c r="B93" s="110"/>
      <c r="C93" s="213" t="s">
        <v>338</v>
      </c>
      <c r="D93" s="77" t="s">
        <v>299</v>
      </c>
      <c r="E93" s="76"/>
      <c r="F93" s="78">
        <v>885</v>
      </c>
      <c r="G93" s="79">
        <f t="shared" si="0"/>
        <v>72830.47</v>
      </c>
      <c r="H93" s="110"/>
      <c r="I93" s="110"/>
      <c r="J93" s="110"/>
      <c r="K93" s="110"/>
      <c r="L93" s="110"/>
      <c r="M93" s="110"/>
      <c r="N93" s="110"/>
      <c r="O93" s="110"/>
    </row>
    <row r="94" customHeight="1" spans="1:13">
      <c r="A94" s="183"/>
      <c r="B94" s="110"/>
      <c r="C94" s="213" t="s">
        <v>339</v>
      </c>
      <c r="D94" s="77" t="s">
        <v>210</v>
      </c>
      <c r="E94" s="76"/>
      <c r="F94" s="78">
        <v>150</v>
      </c>
      <c r="G94" s="79">
        <f t="shared" si="0"/>
        <v>72680.47</v>
      </c>
      <c r="H94" s="21">
        <f>H95-(70000+10000-21593)</f>
        <v>13357.57</v>
      </c>
      <c r="J94" s="105"/>
      <c r="M94" s="20"/>
    </row>
    <row r="95" customHeight="1" spans="1:15">
      <c r="A95" s="183"/>
      <c r="B95" s="110"/>
      <c r="C95" s="213" t="s">
        <v>336</v>
      </c>
      <c r="D95" s="77" t="s">
        <v>299</v>
      </c>
      <c r="E95" s="76"/>
      <c r="F95" s="78">
        <v>100</v>
      </c>
      <c r="G95" s="79">
        <f t="shared" si="0"/>
        <v>72580.47</v>
      </c>
      <c r="H95" s="142">
        <f>I95+J95+K95+L95+M95+N95+O95</f>
        <v>71764.57</v>
      </c>
      <c r="I95" s="105">
        <v>57</v>
      </c>
      <c r="J95" s="105">
        <v>55916.72</v>
      </c>
      <c r="K95" s="105">
        <v>2007.9</v>
      </c>
      <c r="L95" s="105">
        <v>0</v>
      </c>
      <c r="M95" s="105">
        <v>3361.95</v>
      </c>
      <c r="N95" s="105">
        <f>7000+1500</f>
        <v>8500</v>
      </c>
      <c r="O95" s="105">
        <f>1500+200+100+80+30+11</f>
        <v>1921</v>
      </c>
    </row>
    <row r="96" customHeight="1" spans="1:15">
      <c r="A96" s="183" t="s">
        <v>340</v>
      </c>
      <c r="B96" s="59" t="s">
        <v>341</v>
      </c>
      <c r="C96" s="213" t="s">
        <v>39</v>
      </c>
      <c r="D96" s="77" t="s">
        <v>27</v>
      </c>
      <c r="E96" s="76"/>
      <c r="F96" s="78">
        <v>803.36</v>
      </c>
      <c r="G96" s="79">
        <f t="shared" si="0"/>
        <v>71777.11</v>
      </c>
      <c r="H96" s="77"/>
      <c r="I96" s="77"/>
      <c r="J96" s="77"/>
      <c r="K96" s="77"/>
      <c r="L96" s="77"/>
      <c r="M96" s="110"/>
      <c r="N96" s="77"/>
      <c r="O96" s="77"/>
    </row>
    <row r="97" customHeight="1" spans="1:15">
      <c r="A97" s="183"/>
      <c r="B97" s="110"/>
      <c r="C97" s="213"/>
      <c r="D97" s="77" t="s">
        <v>219</v>
      </c>
      <c r="E97" s="76"/>
      <c r="F97" s="78">
        <v>1500</v>
      </c>
      <c r="G97" s="79">
        <f t="shared" si="0"/>
        <v>70277.11</v>
      </c>
      <c r="H97" s="110"/>
      <c r="I97" s="110"/>
      <c r="J97" s="110"/>
      <c r="K97" s="110"/>
      <c r="L97" s="110"/>
      <c r="M97" s="110"/>
      <c r="N97" s="110"/>
      <c r="O97" s="110"/>
    </row>
    <row r="98" customHeight="1" spans="1:15">
      <c r="A98" s="183"/>
      <c r="B98" s="110"/>
      <c r="C98" s="213"/>
      <c r="D98" s="77" t="s">
        <v>219</v>
      </c>
      <c r="E98" s="76"/>
      <c r="F98" s="78">
        <v>300</v>
      </c>
      <c r="G98" s="79">
        <f t="shared" si="0"/>
        <v>69977.11</v>
      </c>
      <c r="H98" s="110"/>
      <c r="I98" s="110"/>
      <c r="J98" s="110"/>
      <c r="K98" s="110"/>
      <c r="L98" s="110"/>
      <c r="M98" s="110"/>
      <c r="N98" s="110"/>
      <c r="O98" s="110"/>
    </row>
    <row r="99" customHeight="1" spans="1:15">
      <c r="A99" s="183"/>
      <c r="B99" s="110"/>
      <c r="C99" s="215" t="s">
        <v>342</v>
      </c>
      <c r="D99" s="168" t="s">
        <v>219</v>
      </c>
      <c r="E99" s="18"/>
      <c r="F99" s="19">
        <f>293+258+262+1843+478+392</f>
        <v>3526</v>
      </c>
      <c r="G99" s="79">
        <f t="shared" si="0"/>
        <v>66451.11</v>
      </c>
      <c r="H99" s="110"/>
      <c r="I99" s="110"/>
      <c r="J99" s="110"/>
      <c r="K99" s="110"/>
      <c r="L99" s="110"/>
      <c r="M99" s="110"/>
      <c r="N99" s="110"/>
      <c r="O99" s="110"/>
    </row>
    <row r="100" customHeight="1" spans="1:13">
      <c r="A100" s="183"/>
      <c r="B100" s="110"/>
      <c r="C100" s="213"/>
      <c r="D100" s="77" t="s">
        <v>219</v>
      </c>
      <c r="E100" s="76"/>
      <c r="F100" s="78">
        <v>40</v>
      </c>
      <c r="G100" s="79">
        <f t="shared" si="0"/>
        <v>66411.11</v>
      </c>
      <c r="H100" s="21">
        <f>H101-(70000+10000-21593)</f>
        <v>8001.21000000001</v>
      </c>
      <c r="J100" s="105"/>
      <c r="M100" s="20"/>
    </row>
    <row r="101" customHeight="1" spans="1:15">
      <c r="A101" s="183" t="s">
        <v>343</v>
      </c>
      <c r="B101" s="59" t="s">
        <v>341</v>
      </c>
      <c r="C101" s="216" t="s">
        <v>127</v>
      </c>
      <c r="D101" s="77"/>
      <c r="E101" s="76"/>
      <c r="F101" s="78">
        <v>2.9</v>
      </c>
      <c r="G101" s="79">
        <f t="shared" si="0"/>
        <v>66408.21</v>
      </c>
      <c r="H101" s="142">
        <f>I101+J101+K101+L101+M101+N101+O101</f>
        <v>66408.21</v>
      </c>
      <c r="I101" s="105">
        <v>57</v>
      </c>
      <c r="J101" s="105">
        <v>53203.72</v>
      </c>
      <c r="K101" s="105">
        <v>2007.9</v>
      </c>
      <c r="L101" s="105">
        <v>0</v>
      </c>
      <c r="M101" s="105">
        <v>2558.59</v>
      </c>
      <c r="N101" s="105">
        <f>7000+1500</f>
        <v>8500</v>
      </c>
      <c r="O101" s="105">
        <f>40+30+11</f>
        <v>81</v>
      </c>
    </row>
    <row r="102" customHeight="1" spans="1:15">
      <c r="A102" s="184"/>
      <c r="B102" s="111"/>
      <c r="C102" s="217" t="s">
        <v>201</v>
      </c>
      <c r="D102" s="86" t="s">
        <v>201</v>
      </c>
      <c r="E102" s="83"/>
      <c r="F102" s="84">
        <v>200</v>
      </c>
      <c r="G102" s="85">
        <f t="shared" si="0"/>
        <v>66208.21</v>
      </c>
      <c r="H102" s="38"/>
      <c r="I102" s="38"/>
      <c r="J102" s="38"/>
      <c r="K102" s="38"/>
      <c r="L102" s="38"/>
      <c r="M102" s="148"/>
      <c r="N102" s="38"/>
      <c r="O102" s="38"/>
    </row>
    <row r="103" customHeight="1" spans="1:13">
      <c r="A103" s="183"/>
      <c r="B103" s="110"/>
      <c r="C103" s="213" t="s">
        <v>39</v>
      </c>
      <c r="D103" s="77" t="s">
        <v>27</v>
      </c>
      <c r="E103" s="76"/>
      <c r="F103" s="78">
        <v>151</v>
      </c>
      <c r="G103" s="79">
        <f t="shared" si="0"/>
        <v>66057.21</v>
      </c>
      <c r="H103" s="21">
        <f>H104-(70000+10000-21593)</f>
        <v>7508.20999999999</v>
      </c>
      <c r="J103" s="105"/>
      <c r="M103" s="20"/>
    </row>
    <row r="104" customHeight="1" spans="1:15">
      <c r="A104" s="183" t="s">
        <v>344</v>
      </c>
      <c r="B104" s="110"/>
      <c r="C104" s="213" t="s">
        <v>91</v>
      </c>
      <c r="D104" s="77" t="s">
        <v>245</v>
      </c>
      <c r="E104" s="76"/>
      <c r="F104" s="78">
        <v>142</v>
      </c>
      <c r="G104" s="79">
        <f t="shared" si="0"/>
        <v>65915.21</v>
      </c>
      <c r="H104" s="142">
        <f>I104+J104+K104+L104+M104+N104+O104</f>
        <v>65915.21</v>
      </c>
      <c r="I104" s="105">
        <v>57</v>
      </c>
      <c r="J104" s="105">
        <v>53203.72</v>
      </c>
      <c r="K104" s="105">
        <v>2007.9</v>
      </c>
      <c r="L104" s="105">
        <v>0</v>
      </c>
      <c r="M104" s="105">
        <v>565.59</v>
      </c>
      <c r="N104" s="105">
        <f>7000+1500</f>
        <v>8500</v>
      </c>
      <c r="O104" s="105">
        <f>1500+40+30+11</f>
        <v>1581</v>
      </c>
    </row>
    <row r="105" customHeight="1" spans="1:15">
      <c r="A105" s="184"/>
      <c r="B105" s="111"/>
      <c r="C105" s="217"/>
      <c r="D105" s="86"/>
      <c r="E105" s="83"/>
      <c r="F105" s="84"/>
      <c r="G105" s="85">
        <f t="shared" si="0"/>
        <v>65915.21</v>
      </c>
      <c r="H105" s="111"/>
      <c r="I105" s="111"/>
      <c r="J105" s="111"/>
      <c r="K105" s="111"/>
      <c r="L105" s="111"/>
      <c r="M105" s="111"/>
      <c r="N105" s="111"/>
      <c r="O105" s="111"/>
    </row>
    <row r="106" customHeight="1" spans="1:15">
      <c r="A106" s="183"/>
      <c r="B106" s="110"/>
      <c r="C106" s="213"/>
      <c r="D106" s="77"/>
      <c r="E106" s="76"/>
      <c r="F106" s="78"/>
      <c r="G106" s="79">
        <f t="shared" si="0"/>
        <v>65915.21</v>
      </c>
      <c r="H106" s="110"/>
      <c r="I106" s="110"/>
      <c r="J106" s="110"/>
      <c r="K106" s="110"/>
      <c r="L106" s="110"/>
      <c r="M106" s="110"/>
      <c r="N106" s="110"/>
      <c r="O106" s="110"/>
    </row>
    <row r="107" customHeight="1" spans="1:15">
      <c r="A107" s="183"/>
      <c r="B107" s="110"/>
      <c r="C107" s="213"/>
      <c r="D107" s="77"/>
      <c r="E107" s="76"/>
      <c r="F107" s="78"/>
      <c r="G107" s="79">
        <f t="shared" si="0"/>
        <v>65915.21</v>
      </c>
      <c r="H107" s="110"/>
      <c r="I107" s="110"/>
      <c r="J107" s="110"/>
      <c r="K107" s="110"/>
      <c r="L107" s="110"/>
      <c r="M107" s="110"/>
      <c r="N107" s="110"/>
      <c r="O107" s="110"/>
    </row>
    <row r="108" customHeight="1" spans="1:15">
      <c r="A108" s="183"/>
      <c r="B108" s="110"/>
      <c r="C108" s="213"/>
      <c r="D108" s="77"/>
      <c r="E108" s="76"/>
      <c r="F108" s="78"/>
      <c r="G108" s="79">
        <f t="shared" si="0"/>
        <v>65915.21</v>
      </c>
      <c r="H108" s="110"/>
      <c r="I108" s="110"/>
      <c r="J108" s="110"/>
      <c r="K108" s="110"/>
      <c r="L108" s="110"/>
      <c r="M108" s="110"/>
      <c r="N108" s="110"/>
      <c r="O108" s="110"/>
    </row>
    <row r="109" customHeight="1" spans="1:15">
      <c r="A109" s="229"/>
      <c r="B109" s="12"/>
      <c r="C109" s="230"/>
      <c r="D109" s="20"/>
      <c r="E109" s="9"/>
      <c r="F109" s="10"/>
      <c r="G109" s="79">
        <f t="shared" si="0"/>
        <v>65915.21</v>
      </c>
      <c r="H109" s="12"/>
      <c r="I109" s="12"/>
      <c r="J109" s="12"/>
      <c r="K109" s="12"/>
      <c r="L109" s="12"/>
      <c r="M109" s="12"/>
      <c r="N109" s="12"/>
      <c r="O109" s="12"/>
    </row>
    <row r="110" customHeight="1" spans="1:15">
      <c r="A110" s="229"/>
      <c r="B110" s="12"/>
      <c r="C110" s="230"/>
      <c r="D110" s="20"/>
      <c r="E110" s="9"/>
      <c r="F110" s="10"/>
      <c r="G110" s="79">
        <f t="shared" si="0"/>
        <v>65915.21</v>
      </c>
      <c r="H110" s="12"/>
      <c r="I110" s="12"/>
      <c r="J110" s="12"/>
      <c r="K110" s="12"/>
      <c r="L110" s="12"/>
      <c r="M110" s="12"/>
      <c r="N110" s="12"/>
      <c r="O110" s="12"/>
    </row>
    <row r="111" customHeight="1" spans="1:15">
      <c r="A111" s="229"/>
      <c r="B111" s="12"/>
      <c r="C111" s="230"/>
      <c r="D111" s="20"/>
      <c r="E111" s="9"/>
      <c r="F111" s="10"/>
      <c r="G111" s="79">
        <f t="shared" si="0"/>
        <v>65915.21</v>
      </c>
      <c r="H111" s="20"/>
      <c r="I111" s="20"/>
      <c r="J111" s="20"/>
      <c r="K111" s="20"/>
      <c r="L111" s="20"/>
      <c r="M111" s="12"/>
      <c r="N111" s="20"/>
      <c r="O111" s="20"/>
    </row>
    <row r="112" customHeight="1" spans="1:15">
      <c r="A112" s="229"/>
      <c r="B112" s="12"/>
      <c r="C112" s="230"/>
      <c r="D112" s="20"/>
      <c r="E112" s="9"/>
      <c r="F112" s="10"/>
      <c r="G112" s="79">
        <f t="shared" si="0"/>
        <v>65915.21</v>
      </c>
      <c r="H112" s="20"/>
      <c r="I112" s="20"/>
      <c r="J112" s="20"/>
      <c r="K112" s="20"/>
      <c r="L112" s="20"/>
      <c r="M112" s="12"/>
      <c r="N112" s="20"/>
      <c r="O112" s="20"/>
    </row>
    <row r="113" customHeight="1" spans="1:7">
      <c r="A113" s="229"/>
      <c r="B113" s="12"/>
      <c r="C113" s="230"/>
      <c r="D113" s="20"/>
      <c r="E113" s="9"/>
      <c r="F113" s="10"/>
      <c r="G113" s="79">
        <f t="shared" si="0"/>
        <v>65915.21</v>
      </c>
    </row>
    <row r="114" customHeight="1" spans="1:7">
      <c r="A114" s="229"/>
      <c r="B114" s="12"/>
      <c r="C114" s="230"/>
      <c r="D114" s="20"/>
      <c r="E114" s="9"/>
      <c r="F114" s="10"/>
      <c r="G114" s="79">
        <f t="shared" si="0"/>
        <v>65915.21</v>
      </c>
    </row>
    <row r="115" customHeight="1" spans="1:7">
      <c r="A115" s="229"/>
      <c r="B115" s="12"/>
      <c r="C115" s="230"/>
      <c r="D115" s="20"/>
      <c r="E115" s="9"/>
      <c r="F115" s="10"/>
      <c r="G115" s="79">
        <f t="shared" si="0"/>
        <v>65915.21</v>
      </c>
    </row>
    <row r="116" customHeight="1" spans="1:15">
      <c r="A116" s="229"/>
      <c r="B116" s="12"/>
      <c r="C116" s="230"/>
      <c r="D116" s="20"/>
      <c r="E116" s="9"/>
      <c r="F116" s="10"/>
      <c r="G116" s="20"/>
      <c r="H116" s="12"/>
      <c r="I116" s="12"/>
      <c r="J116" s="12"/>
      <c r="K116" s="12"/>
      <c r="L116" s="12"/>
      <c r="M116" s="12"/>
      <c r="N116" s="12"/>
      <c r="O116" s="12"/>
    </row>
    <row r="117" customHeight="1" spans="1:15">
      <c r="A117" s="229"/>
      <c r="B117" s="12"/>
      <c r="C117" s="230"/>
      <c r="D117" s="20"/>
      <c r="E117" s="9"/>
      <c r="F117" s="10"/>
      <c r="G117" s="20"/>
      <c r="H117" s="12"/>
      <c r="I117" s="12"/>
      <c r="J117" s="12"/>
      <c r="K117" s="12"/>
      <c r="L117" s="12"/>
      <c r="M117" s="12"/>
      <c r="N117" s="12"/>
      <c r="O117" s="12"/>
    </row>
    <row r="118" customHeight="1" spans="1:15">
      <c r="A118" s="229"/>
      <c r="B118" s="12"/>
      <c r="C118" s="230"/>
      <c r="D118" s="20"/>
      <c r="E118" s="9"/>
      <c r="F118" s="10"/>
      <c r="G118" s="20"/>
      <c r="H118" s="12"/>
      <c r="I118" s="12"/>
      <c r="J118" s="12"/>
      <c r="K118" s="12"/>
      <c r="L118" s="12"/>
      <c r="M118" s="12"/>
      <c r="N118" s="12"/>
      <c r="O118" s="12"/>
    </row>
    <row r="119" customHeight="1" spans="1:15">
      <c r="A119" s="229"/>
      <c r="B119" s="12"/>
      <c r="C119" s="230"/>
      <c r="D119" s="20"/>
      <c r="E119" s="9"/>
      <c r="F119" s="10"/>
      <c r="G119" s="20"/>
      <c r="H119" s="12"/>
      <c r="I119" s="12"/>
      <c r="J119" s="12"/>
      <c r="K119" s="12"/>
      <c r="L119" s="12"/>
      <c r="M119" s="12"/>
      <c r="N119" s="12"/>
      <c r="O119" s="12"/>
    </row>
    <row r="120" customHeight="1" spans="1:15">
      <c r="A120" s="229"/>
      <c r="B120" s="12"/>
      <c r="C120" s="230"/>
      <c r="D120" s="20"/>
      <c r="E120" s="9"/>
      <c r="F120" s="10"/>
      <c r="G120" s="20"/>
      <c r="H120" s="12"/>
      <c r="I120" s="12"/>
      <c r="J120" s="12"/>
      <c r="K120" s="12"/>
      <c r="L120" s="12"/>
      <c r="M120" s="12"/>
      <c r="N120" s="12"/>
      <c r="O120" s="12"/>
    </row>
    <row r="121" customHeight="1" spans="1:15">
      <c r="A121" s="229"/>
      <c r="B121" s="12"/>
      <c r="C121" s="230"/>
      <c r="D121" s="20"/>
      <c r="E121" s="9"/>
      <c r="F121" s="10"/>
      <c r="G121" s="20"/>
      <c r="H121" s="20"/>
      <c r="I121" s="20"/>
      <c r="J121" s="20"/>
      <c r="K121" s="20"/>
      <c r="L121" s="20"/>
      <c r="M121" s="12"/>
      <c r="N121" s="20"/>
      <c r="O121" s="20"/>
    </row>
    <row r="122" customHeight="1" spans="1:15">
      <c r="A122" s="229"/>
      <c r="B122" s="12"/>
      <c r="C122" s="230"/>
      <c r="D122" s="20"/>
      <c r="E122" s="9"/>
      <c r="F122" s="10"/>
      <c r="G122" s="20"/>
      <c r="H122" s="12"/>
      <c r="I122" s="12"/>
      <c r="J122" s="12"/>
      <c r="K122" s="12"/>
      <c r="L122" s="12"/>
      <c r="M122" s="12"/>
      <c r="N122" s="12"/>
      <c r="O122" s="12"/>
    </row>
    <row r="123" customHeight="1" spans="1:15">
      <c r="A123" s="229"/>
      <c r="B123" s="12"/>
      <c r="C123" s="230"/>
      <c r="D123" s="20"/>
      <c r="E123" s="9"/>
      <c r="F123" s="10"/>
      <c r="G123" s="20"/>
      <c r="H123" s="12"/>
      <c r="I123" s="12"/>
      <c r="J123" s="12"/>
      <c r="K123" s="12"/>
      <c r="L123" s="12"/>
      <c r="M123" s="12"/>
      <c r="N123" s="12"/>
      <c r="O123" s="12"/>
    </row>
    <row r="124" customHeight="1" spans="1:15">
      <c r="A124" s="229"/>
      <c r="B124" s="12"/>
      <c r="C124" s="230"/>
      <c r="D124" s="20"/>
      <c r="E124" s="9"/>
      <c r="F124" s="10"/>
      <c r="G124" s="20"/>
      <c r="H124" s="12"/>
      <c r="I124" s="12"/>
      <c r="J124" s="12"/>
      <c r="K124" s="12"/>
      <c r="L124" s="12"/>
      <c r="M124" s="12"/>
      <c r="N124" s="12"/>
      <c r="O124" s="12"/>
    </row>
    <row r="125" customHeight="1" spans="1:15">
      <c r="A125" s="229"/>
      <c r="B125" s="12"/>
      <c r="C125" s="230"/>
      <c r="D125" s="20"/>
      <c r="E125" s="9"/>
      <c r="F125" s="10"/>
      <c r="G125" s="20"/>
      <c r="H125" s="12"/>
      <c r="I125" s="12"/>
      <c r="J125" s="12"/>
      <c r="K125" s="12"/>
      <c r="L125" s="12"/>
      <c r="M125" s="12"/>
      <c r="N125" s="12"/>
      <c r="O125" s="12"/>
    </row>
    <row r="126" customHeight="1" spans="1:15">
      <c r="A126" s="229"/>
      <c r="B126" s="12"/>
      <c r="C126" s="230"/>
      <c r="D126" s="20"/>
      <c r="E126" s="9"/>
      <c r="F126" s="10"/>
      <c r="G126" s="20"/>
      <c r="H126" s="12"/>
      <c r="I126" s="12"/>
      <c r="J126" s="12"/>
      <c r="K126" s="12"/>
      <c r="L126" s="12"/>
      <c r="M126" s="12"/>
      <c r="N126" s="12"/>
      <c r="O126" s="12"/>
    </row>
    <row r="127" customHeight="1" spans="1:15">
      <c r="A127" s="229"/>
      <c r="B127" s="12"/>
      <c r="C127" s="230"/>
      <c r="D127" s="20"/>
      <c r="E127" s="9"/>
      <c r="F127" s="10"/>
      <c r="G127" s="20"/>
      <c r="H127" s="12"/>
      <c r="I127" s="12"/>
      <c r="J127" s="12"/>
      <c r="K127" s="12"/>
      <c r="L127" s="12"/>
      <c r="M127" s="12"/>
      <c r="N127" s="12"/>
      <c r="O127" s="12"/>
    </row>
    <row r="128" customHeight="1" spans="1:15">
      <c r="A128" s="229"/>
      <c r="B128" s="12"/>
      <c r="C128" s="230"/>
      <c r="D128" s="20"/>
      <c r="E128" s="9"/>
      <c r="F128" s="10"/>
      <c r="G128" s="20"/>
      <c r="H128" s="12"/>
      <c r="I128" s="12"/>
      <c r="J128" s="12"/>
      <c r="K128" s="12"/>
      <c r="L128" s="12"/>
      <c r="M128" s="12"/>
      <c r="N128" s="12"/>
      <c r="O128" s="12"/>
    </row>
    <row r="129" customHeight="1" spans="1:15">
      <c r="A129" s="229"/>
      <c r="B129" s="12"/>
      <c r="C129" s="230"/>
      <c r="D129" s="20"/>
      <c r="E129" s="9"/>
      <c r="F129" s="10"/>
      <c r="G129" s="20"/>
      <c r="H129" s="12"/>
      <c r="I129" s="12"/>
      <c r="J129" s="12"/>
      <c r="K129" s="12"/>
      <c r="L129" s="12"/>
      <c r="M129" s="12"/>
      <c r="N129" s="12"/>
      <c r="O129" s="12"/>
    </row>
    <row r="130" customHeight="1" spans="1:15">
      <c r="A130" s="229"/>
      <c r="B130" s="12"/>
      <c r="C130" s="230"/>
      <c r="D130" s="20"/>
      <c r="E130" s="9"/>
      <c r="F130" s="10"/>
      <c r="G130" s="20"/>
      <c r="H130" s="12"/>
      <c r="I130" s="12"/>
      <c r="J130" s="12"/>
      <c r="K130" s="12"/>
      <c r="L130" s="12"/>
      <c r="M130" s="12"/>
      <c r="N130" s="12"/>
      <c r="O130" s="12"/>
    </row>
    <row r="131" customHeight="1" spans="1:15">
      <c r="A131" s="229"/>
      <c r="B131" s="12"/>
      <c r="C131" s="230"/>
      <c r="D131" s="20"/>
      <c r="E131" s="9"/>
      <c r="F131" s="10"/>
      <c r="G131" s="20"/>
      <c r="H131" s="12"/>
      <c r="I131" s="12"/>
      <c r="J131" s="12"/>
      <c r="K131" s="12"/>
      <c r="L131" s="12"/>
      <c r="M131" s="12"/>
      <c r="N131" s="12"/>
      <c r="O131" s="12"/>
    </row>
    <row r="132" customHeight="1" spans="1:15">
      <c r="A132" s="229"/>
      <c r="B132" s="12"/>
      <c r="C132" s="230"/>
      <c r="D132" s="20"/>
      <c r="E132" s="9"/>
      <c r="F132" s="10"/>
      <c r="G132" s="20"/>
      <c r="H132" s="12"/>
      <c r="I132" s="12"/>
      <c r="J132" s="12"/>
      <c r="K132" s="12"/>
      <c r="L132" s="12"/>
      <c r="M132" s="12"/>
      <c r="N132" s="12"/>
      <c r="O132" s="12"/>
    </row>
    <row r="133" customHeight="1" spans="1:15">
      <c r="A133" s="229"/>
      <c r="B133" s="12"/>
      <c r="C133" s="230"/>
      <c r="D133" s="20"/>
      <c r="E133" s="9"/>
      <c r="F133" s="10"/>
      <c r="G133" s="20"/>
      <c r="H133" s="12"/>
      <c r="I133" s="12"/>
      <c r="J133" s="12"/>
      <c r="K133" s="12"/>
      <c r="L133" s="12"/>
      <c r="M133" s="12"/>
      <c r="N133" s="12"/>
      <c r="O133" s="12"/>
    </row>
    <row r="134" customHeight="1" spans="1:15">
      <c r="A134" s="229"/>
      <c r="B134" s="12"/>
      <c r="C134" s="230"/>
      <c r="D134" s="20"/>
      <c r="E134" s="9"/>
      <c r="F134" s="10"/>
      <c r="G134" s="20"/>
      <c r="H134" s="12"/>
      <c r="I134" s="12"/>
      <c r="J134" s="12"/>
      <c r="K134" s="12"/>
      <c r="L134" s="12"/>
      <c r="M134" s="12"/>
      <c r="N134" s="12"/>
      <c r="O134" s="12"/>
    </row>
    <row r="135" customHeight="1" spans="1:15">
      <c r="A135" s="229"/>
      <c r="B135" s="12"/>
      <c r="C135" s="230"/>
      <c r="D135" s="20"/>
      <c r="E135" s="9"/>
      <c r="F135" s="10"/>
      <c r="G135" s="20"/>
      <c r="H135" s="12"/>
      <c r="I135" s="12"/>
      <c r="J135" s="12"/>
      <c r="K135" s="12"/>
      <c r="L135" s="12"/>
      <c r="M135" s="12"/>
      <c r="N135" s="12"/>
      <c r="O135" s="12"/>
    </row>
    <row r="136" customHeight="1" spans="1:15">
      <c r="A136" s="229"/>
      <c r="B136" s="12"/>
      <c r="C136" s="230"/>
      <c r="D136" s="20"/>
      <c r="E136" s="9"/>
      <c r="F136" s="10"/>
      <c r="G136" s="20"/>
      <c r="H136" s="12"/>
      <c r="I136" s="12"/>
      <c r="J136" s="12"/>
      <c r="K136" s="12"/>
      <c r="L136" s="12"/>
      <c r="M136" s="12"/>
      <c r="N136" s="12"/>
      <c r="O136" s="12"/>
    </row>
    <row r="137" customHeight="1" spans="1:15">
      <c r="A137" s="229"/>
      <c r="B137" s="12"/>
      <c r="C137" s="230"/>
      <c r="D137" s="20"/>
      <c r="E137" s="9"/>
      <c r="F137" s="10"/>
      <c r="G137" s="20"/>
      <c r="H137" s="12"/>
      <c r="I137" s="12"/>
      <c r="J137" s="12"/>
      <c r="K137" s="12"/>
      <c r="L137" s="12"/>
      <c r="M137" s="12"/>
      <c r="N137" s="12"/>
      <c r="O137" s="12"/>
    </row>
    <row r="138" customHeight="1" spans="1:15">
      <c r="A138" s="229"/>
      <c r="B138" s="12"/>
      <c r="C138" s="230"/>
      <c r="D138" s="20"/>
      <c r="E138" s="9"/>
      <c r="F138" s="10"/>
      <c r="G138" s="20"/>
      <c r="H138" s="12"/>
      <c r="I138" s="12"/>
      <c r="J138" s="12"/>
      <c r="K138" s="12"/>
      <c r="L138" s="12"/>
      <c r="M138" s="12"/>
      <c r="N138" s="12"/>
      <c r="O138" s="12"/>
    </row>
    <row r="139" customHeight="1" spans="1:15">
      <c r="A139" s="229"/>
      <c r="B139" s="12"/>
      <c r="C139" s="230"/>
      <c r="D139" s="20"/>
      <c r="E139" s="9"/>
      <c r="F139" s="10"/>
      <c r="G139" s="20"/>
      <c r="H139" s="12"/>
      <c r="I139" s="12"/>
      <c r="J139" s="12"/>
      <c r="K139" s="12"/>
      <c r="L139" s="12"/>
      <c r="M139" s="12"/>
      <c r="N139" s="12"/>
      <c r="O139" s="12"/>
    </row>
    <row r="140" customHeight="1" spans="1:15">
      <c r="A140" s="229"/>
      <c r="B140" s="12"/>
      <c r="C140" s="230"/>
      <c r="D140" s="20"/>
      <c r="E140" s="9"/>
      <c r="F140" s="10"/>
      <c r="G140" s="20"/>
      <c r="H140" s="12"/>
      <c r="I140" s="12"/>
      <c r="J140" s="12"/>
      <c r="K140" s="12"/>
      <c r="L140" s="12"/>
      <c r="M140" s="12"/>
      <c r="N140" s="12"/>
      <c r="O140" s="12"/>
    </row>
    <row r="141" customHeight="1" spans="1:15">
      <c r="A141" s="229"/>
      <c r="B141" s="12"/>
      <c r="C141" s="230"/>
      <c r="D141" s="20"/>
      <c r="E141" s="9"/>
      <c r="F141" s="10"/>
      <c r="G141" s="20"/>
      <c r="H141" s="12"/>
      <c r="I141" s="12"/>
      <c r="J141" s="12"/>
      <c r="K141" s="12"/>
      <c r="L141" s="12"/>
      <c r="M141" s="12"/>
      <c r="N141" s="12"/>
      <c r="O141" s="12"/>
    </row>
    <row r="142" customHeight="1" spans="1:15">
      <c r="A142" s="229"/>
      <c r="B142" s="12"/>
      <c r="C142" s="230"/>
      <c r="D142" s="20"/>
      <c r="E142" s="9"/>
      <c r="F142" s="10"/>
      <c r="G142" s="20"/>
      <c r="H142" s="12"/>
      <c r="I142" s="12"/>
      <c r="J142" s="12"/>
      <c r="K142" s="12"/>
      <c r="L142" s="12"/>
      <c r="M142" s="12"/>
      <c r="N142" s="12"/>
      <c r="O142" s="12"/>
    </row>
    <row r="143" customHeight="1" spans="1:15">
      <c r="A143" s="229"/>
      <c r="B143" s="12"/>
      <c r="C143" s="230"/>
      <c r="D143" s="20"/>
      <c r="E143" s="9"/>
      <c r="F143" s="10"/>
      <c r="G143" s="20"/>
      <c r="H143" s="12"/>
      <c r="I143" s="12"/>
      <c r="J143" s="12"/>
      <c r="K143" s="12"/>
      <c r="L143" s="12"/>
      <c r="M143" s="12"/>
      <c r="N143" s="12"/>
      <c r="O143" s="12"/>
    </row>
    <row r="144" customHeight="1" spans="1:15">
      <c r="A144" s="229"/>
      <c r="B144" s="12"/>
      <c r="C144" s="230"/>
      <c r="D144" s="20"/>
      <c r="E144" s="9"/>
      <c r="F144" s="10"/>
      <c r="G144" s="20"/>
      <c r="H144" s="12"/>
      <c r="I144" s="12"/>
      <c r="J144" s="12"/>
      <c r="K144" s="12"/>
      <c r="L144" s="12"/>
      <c r="M144" s="12"/>
      <c r="N144" s="12"/>
      <c r="O144" s="12"/>
    </row>
    <row r="145" customHeight="1" spans="1:15">
      <c r="A145" s="229"/>
      <c r="B145" s="12"/>
      <c r="C145" s="230"/>
      <c r="D145" s="20"/>
      <c r="E145" s="9"/>
      <c r="F145" s="10"/>
      <c r="G145" s="20"/>
      <c r="H145" s="12"/>
      <c r="I145" s="12"/>
      <c r="J145" s="12"/>
      <c r="K145" s="12"/>
      <c r="L145" s="12"/>
      <c r="M145" s="12"/>
      <c r="N145" s="12"/>
      <c r="O145" s="12"/>
    </row>
    <row r="146" customHeight="1" spans="1:15">
      <c r="A146" s="229"/>
      <c r="B146" s="12"/>
      <c r="C146" s="230"/>
      <c r="D146" s="20"/>
      <c r="E146" s="9"/>
      <c r="F146" s="10"/>
      <c r="G146" s="20"/>
      <c r="H146" s="12"/>
      <c r="I146" s="12"/>
      <c r="J146" s="12"/>
      <c r="K146" s="12"/>
      <c r="L146" s="12"/>
      <c r="M146" s="12"/>
      <c r="N146" s="12"/>
      <c r="O146" s="12"/>
    </row>
    <row r="147" customHeight="1" spans="1:15">
      <c r="A147" s="229"/>
      <c r="B147" s="12"/>
      <c r="C147" s="230"/>
      <c r="D147" s="20"/>
      <c r="E147" s="9"/>
      <c r="F147" s="10"/>
      <c r="G147" s="20"/>
      <c r="H147" s="12"/>
      <c r="I147" s="12"/>
      <c r="J147" s="12"/>
      <c r="K147" s="12"/>
      <c r="L147" s="12"/>
      <c r="M147" s="12"/>
      <c r="N147" s="12"/>
      <c r="O147" s="12"/>
    </row>
    <row r="148" customHeight="1" spans="1:15">
      <c r="A148" s="229"/>
      <c r="B148" s="12"/>
      <c r="C148" s="230"/>
      <c r="D148" s="20"/>
      <c r="E148" s="9"/>
      <c r="F148" s="10"/>
      <c r="G148" s="20"/>
      <c r="H148" s="12"/>
      <c r="I148" s="12"/>
      <c r="J148" s="12"/>
      <c r="K148" s="12"/>
      <c r="L148" s="12"/>
      <c r="M148" s="12"/>
      <c r="N148" s="12"/>
      <c r="O148" s="12"/>
    </row>
    <row r="149" customHeight="1" spans="1:15">
      <c r="A149" s="229"/>
      <c r="B149" s="12"/>
      <c r="C149" s="230"/>
      <c r="D149" s="20"/>
      <c r="E149" s="9"/>
      <c r="F149" s="10"/>
      <c r="G149" s="20"/>
      <c r="H149" s="12"/>
      <c r="I149" s="12"/>
      <c r="J149" s="12"/>
      <c r="K149" s="12"/>
      <c r="L149" s="12"/>
      <c r="M149" s="12"/>
      <c r="N149" s="12"/>
      <c r="O149" s="12"/>
    </row>
    <row r="150" customHeight="1" spans="1:15">
      <c r="A150" s="229"/>
      <c r="B150" s="12"/>
      <c r="C150" s="230"/>
      <c r="D150" s="20"/>
      <c r="E150" s="9"/>
      <c r="F150" s="10"/>
      <c r="G150" s="20"/>
      <c r="H150" s="12"/>
      <c r="I150" s="12"/>
      <c r="J150" s="12"/>
      <c r="K150" s="12"/>
      <c r="L150" s="12"/>
      <c r="M150" s="12"/>
      <c r="N150" s="12"/>
      <c r="O150" s="12"/>
    </row>
    <row r="151" customHeight="1" spans="1:15">
      <c r="A151" s="229"/>
      <c r="B151" s="12"/>
      <c r="C151" s="230"/>
      <c r="D151" s="20"/>
      <c r="E151" s="9"/>
      <c r="F151" s="10"/>
      <c r="G151" s="20"/>
      <c r="H151" s="12"/>
      <c r="I151" s="12"/>
      <c r="J151" s="12"/>
      <c r="K151" s="12"/>
      <c r="L151" s="12"/>
      <c r="M151" s="12"/>
      <c r="N151" s="12"/>
      <c r="O151" s="12"/>
    </row>
    <row r="152" customHeight="1" spans="1:15">
      <c r="A152" s="229"/>
      <c r="B152" s="12"/>
      <c r="C152" s="230"/>
      <c r="D152" s="20"/>
      <c r="E152" s="9"/>
      <c r="F152" s="10"/>
      <c r="G152" s="20"/>
      <c r="H152" s="12"/>
      <c r="I152" s="12"/>
      <c r="J152" s="12"/>
      <c r="K152" s="12"/>
      <c r="L152" s="12"/>
      <c r="M152" s="12"/>
      <c r="N152" s="12"/>
      <c r="O152" s="12"/>
    </row>
    <row r="153" customHeight="1" spans="1:15">
      <c r="A153" s="229"/>
      <c r="B153" s="12"/>
      <c r="C153" s="230"/>
      <c r="D153" s="20"/>
      <c r="E153" s="9"/>
      <c r="F153" s="10"/>
      <c r="G153" s="20"/>
      <c r="H153" s="12"/>
      <c r="I153" s="12"/>
      <c r="J153" s="12"/>
      <c r="K153" s="12"/>
      <c r="L153" s="12"/>
      <c r="M153" s="12"/>
      <c r="N153" s="12"/>
      <c r="O153" s="12"/>
    </row>
    <row r="154" customHeight="1" spans="1:15">
      <c r="A154" s="229"/>
      <c r="B154" s="12"/>
      <c r="C154" s="230"/>
      <c r="D154" s="20"/>
      <c r="E154" s="9"/>
      <c r="F154" s="10"/>
      <c r="G154" s="20"/>
      <c r="H154" s="12"/>
      <c r="I154" s="12"/>
      <c r="J154" s="12"/>
      <c r="K154" s="12"/>
      <c r="L154" s="12"/>
      <c r="M154" s="12"/>
      <c r="N154" s="12"/>
      <c r="O154" s="12"/>
    </row>
    <row r="155" customHeight="1" spans="1:15">
      <c r="A155" s="229"/>
      <c r="B155" s="12"/>
      <c r="C155" s="230"/>
      <c r="D155" s="20"/>
      <c r="E155" s="9"/>
      <c r="F155" s="10"/>
      <c r="G155" s="20"/>
      <c r="H155" s="12"/>
      <c r="I155" s="12"/>
      <c r="J155" s="12"/>
      <c r="K155" s="12"/>
      <c r="L155" s="12"/>
      <c r="M155" s="12"/>
      <c r="N155" s="12"/>
      <c r="O155" s="12"/>
    </row>
    <row r="156" customHeight="1" spans="1:15">
      <c r="A156" s="229"/>
      <c r="B156" s="12"/>
      <c r="C156" s="230"/>
      <c r="D156" s="20"/>
      <c r="E156" s="9"/>
      <c r="F156" s="10"/>
      <c r="G156" s="20"/>
      <c r="H156" s="12"/>
      <c r="I156" s="12"/>
      <c r="J156" s="12"/>
      <c r="K156" s="12"/>
      <c r="L156" s="12"/>
      <c r="M156" s="12"/>
      <c r="N156" s="12"/>
      <c r="O156" s="12"/>
    </row>
    <row r="157" customHeight="1" spans="1:15">
      <c r="A157" s="229"/>
      <c r="B157" s="12"/>
      <c r="C157" s="230"/>
      <c r="D157" s="20"/>
      <c r="E157" s="9"/>
      <c r="F157" s="10"/>
      <c r="G157" s="20"/>
      <c r="H157" s="12"/>
      <c r="I157" s="12"/>
      <c r="J157" s="12"/>
      <c r="K157" s="12"/>
      <c r="L157" s="12"/>
      <c r="M157" s="12"/>
      <c r="N157" s="12"/>
      <c r="O157" s="12"/>
    </row>
    <row r="158" customHeight="1" spans="1:15">
      <c r="A158" s="229"/>
      <c r="B158" s="12"/>
      <c r="C158" s="230"/>
      <c r="D158" s="20"/>
      <c r="E158" s="9"/>
      <c r="F158" s="10"/>
      <c r="G158" s="20"/>
      <c r="H158" s="12"/>
      <c r="I158" s="12"/>
      <c r="J158" s="12"/>
      <c r="K158" s="12"/>
      <c r="L158" s="12"/>
      <c r="M158" s="12"/>
      <c r="N158" s="12"/>
      <c r="O158" s="12"/>
    </row>
    <row r="159" customHeight="1" spans="1:15">
      <c r="A159" s="229"/>
      <c r="B159" s="12"/>
      <c r="C159" s="230"/>
      <c r="D159" s="20"/>
      <c r="E159" s="9"/>
      <c r="F159" s="10"/>
      <c r="G159" s="20"/>
      <c r="H159" s="12"/>
      <c r="I159" s="12"/>
      <c r="J159" s="12"/>
      <c r="K159" s="12"/>
      <c r="L159" s="12"/>
      <c r="M159" s="12"/>
      <c r="N159" s="12"/>
      <c r="O159" s="12"/>
    </row>
    <row r="160" customHeight="1" spans="1:15">
      <c r="A160" s="229"/>
      <c r="B160" s="12"/>
      <c r="C160" s="230"/>
      <c r="D160" s="20"/>
      <c r="E160" s="9"/>
      <c r="F160" s="10"/>
      <c r="G160" s="20"/>
      <c r="H160" s="12"/>
      <c r="I160" s="12"/>
      <c r="J160" s="12"/>
      <c r="K160" s="12"/>
      <c r="L160" s="12"/>
      <c r="M160" s="12"/>
      <c r="N160" s="12"/>
      <c r="O160" s="12"/>
    </row>
    <row r="161" customHeight="1" spans="1:15">
      <c r="A161" s="229"/>
      <c r="B161" s="12"/>
      <c r="C161" s="230"/>
      <c r="D161" s="20"/>
      <c r="E161" s="9"/>
      <c r="F161" s="10"/>
      <c r="G161" s="20"/>
      <c r="H161" s="12"/>
      <c r="I161" s="12"/>
      <c r="J161" s="12"/>
      <c r="K161" s="12"/>
      <c r="L161" s="12"/>
      <c r="M161" s="12"/>
      <c r="N161" s="12"/>
      <c r="O161" s="12"/>
    </row>
    <row r="162" customHeight="1" spans="1:15">
      <c r="A162" s="229"/>
      <c r="B162" s="12"/>
      <c r="C162" s="230"/>
      <c r="D162" s="20"/>
      <c r="E162" s="9"/>
      <c r="F162" s="10"/>
      <c r="G162" s="20"/>
      <c r="H162" s="12"/>
      <c r="I162" s="12"/>
      <c r="J162" s="12"/>
      <c r="K162" s="12"/>
      <c r="L162" s="12"/>
      <c r="M162" s="12"/>
      <c r="N162" s="12"/>
      <c r="O162" s="12"/>
    </row>
    <row r="163" customHeight="1" spans="1:15">
      <c r="A163" s="229"/>
      <c r="B163" s="12"/>
      <c r="C163" s="230"/>
      <c r="D163" s="20"/>
      <c r="E163" s="9"/>
      <c r="F163" s="10"/>
      <c r="G163" s="20"/>
      <c r="H163" s="12"/>
      <c r="I163" s="12"/>
      <c r="J163" s="12"/>
      <c r="K163" s="12"/>
      <c r="L163" s="12"/>
      <c r="M163" s="12"/>
      <c r="N163" s="12"/>
      <c r="O163" s="12"/>
    </row>
    <row r="164" customHeight="1" spans="1:15">
      <c r="A164" s="229"/>
      <c r="B164" s="12"/>
      <c r="C164" s="230"/>
      <c r="D164" s="20"/>
      <c r="E164" s="9"/>
      <c r="F164" s="10"/>
      <c r="G164" s="20"/>
      <c r="H164" s="12"/>
      <c r="I164" s="12"/>
      <c r="J164" s="12"/>
      <c r="K164" s="12"/>
      <c r="L164" s="12"/>
      <c r="M164" s="12"/>
      <c r="N164" s="12"/>
      <c r="O164" s="12"/>
    </row>
    <row r="165" customHeight="1" spans="1:15">
      <c r="A165" s="229"/>
      <c r="B165" s="12"/>
      <c r="C165" s="230"/>
      <c r="D165" s="20"/>
      <c r="E165" s="9"/>
      <c r="F165" s="10"/>
      <c r="G165" s="20"/>
      <c r="H165" s="12"/>
      <c r="I165" s="12"/>
      <c r="J165" s="12"/>
      <c r="K165" s="12"/>
      <c r="L165" s="12"/>
      <c r="M165" s="12"/>
      <c r="N165" s="12"/>
      <c r="O165" s="12"/>
    </row>
    <row r="166" customHeight="1" spans="1:15">
      <c r="A166" s="229"/>
      <c r="B166" s="12"/>
      <c r="C166" s="230"/>
      <c r="D166" s="20"/>
      <c r="E166" s="9"/>
      <c r="F166" s="10"/>
      <c r="G166" s="20"/>
      <c r="H166" s="12"/>
      <c r="I166" s="12"/>
      <c r="J166" s="12"/>
      <c r="K166" s="12"/>
      <c r="L166" s="12"/>
      <c r="M166" s="12"/>
      <c r="N166" s="12"/>
      <c r="O166" s="12"/>
    </row>
    <row r="167" customHeight="1" spans="1:15">
      <c r="A167" s="229"/>
      <c r="B167" s="12"/>
      <c r="C167" s="230"/>
      <c r="D167" s="20"/>
      <c r="E167" s="9"/>
      <c r="F167" s="10"/>
      <c r="G167" s="20"/>
      <c r="H167" s="12"/>
      <c r="I167" s="12"/>
      <c r="J167" s="12"/>
      <c r="K167" s="12"/>
      <c r="L167" s="12"/>
      <c r="M167" s="12"/>
      <c r="N167" s="12"/>
      <c r="O167" s="12"/>
    </row>
    <row r="168" customHeight="1" spans="1:15">
      <c r="A168" s="229"/>
      <c r="B168" s="12"/>
      <c r="C168" s="230"/>
      <c r="D168" s="20"/>
      <c r="E168" s="9"/>
      <c r="F168" s="10"/>
      <c r="G168" s="20"/>
      <c r="H168" s="12"/>
      <c r="I168" s="12"/>
      <c r="J168" s="12"/>
      <c r="K168" s="12"/>
      <c r="L168" s="12"/>
      <c r="M168" s="12"/>
      <c r="N168" s="12"/>
      <c r="O168" s="12"/>
    </row>
    <row r="172" customHeight="1" spans="5:6">
      <c r="E172" s="189" t="s">
        <v>294</v>
      </c>
      <c r="F172" s="189" t="s">
        <v>295</v>
      </c>
    </row>
    <row r="173" customHeight="1" spans="5:6">
      <c r="E173" s="172">
        <f t="shared" ref="E173:F173" si="1">SUM(E3:E168)</f>
        <v>125300.73</v>
      </c>
      <c r="F173" s="172">
        <f t="shared" si="1"/>
        <v>59385.52</v>
      </c>
    </row>
    <row r="174" customHeight="1" spans="5:6">
      <c r="E174" s="189" t="s">
        <v>345</v>
      </c>
      <c r="F174" s="172">
        <f>F173-15000-10902-3500</f>
        <v>29983.52</v>
      </c>
    </row>
    <row r="178" customHeight="1" spans="5:7">
      <c r="E178" s="55" t="s">
        <v>27</v>
      </c>
      <c r="F178" s="53">
        <f ca="1">SUMIF(D$3:F$168,"Grocery",F$3:F$168)</f>
        <v>7185.62</v>
      </c>
      <c r="G178" s="56">
        <f ca="1">SUM(F178:F180)</f>
        <v>12233.62</v>
      </c>
    </row>
    <row r="179" customHeight="1" spans="5:7">
      <c r="E179" s="55" t="s">
        <v>224</v>
      </c>
      <c r="F179" s="53">
        <f ca="1">SUMIF(D$3:F$168,"Snacks",F$3:F$168)</f>
        <v>1628</v>
      </c>
      <c r="G179" s="57"/>
    </row>
    <row r="180" customHeight="1" spans="5:7">
      <c r="E180" s="55" t="s">
        <v>299</v>
      </c>
      <c r="F180" s="53">
        <f ca="1">SUMIF(D$3:F$167,"Food ",F$3:F$167)</f>
        <v>3420</v>
      </c>
      <c r="G180" s="58"/>
    </row>
    <row r="181" customHeight="1" spans="5:6">
      <c r="E181" s="55" t="s">
        <v>245</v>
      </c>
      <c r="F181" s="53">
        <f ca="1">SUMIF(D$3:F$168,"Health",F$3:F$168)</f>
        <v>2531</v>
      </c>
    </row>
    <row r="182" customHeight="1" spans="5:8">
      <c r="E182" s="55" t="s">
        <v>54</v>
      </c>
      <c r="F182" s="53">
        <f ca="1">SUMIF(D$3:F$171,"Dress",F$3:F$171)</f>
        <v>1094</v>
      </c>
      <c r="G182" s="59"/>
      <c r="H182" s="60"/>
    </row>
    <row r="183" customHeight="1" spans="5:6">
      <c r="E183" s="55" t="s">
        <v>214</v>
      </c>
      <c r="F183" s="53">
        <f ca="1">SUMIF(D$3:F$171,"Home",F$3:F$171)</f>
        <v>15424</v>
      </c>
    </row>
    <row r="184" customHeight="1" spans="5:8">
      <c r="E184" s="55" t="s">
        <v>281</v>
      </c>
      <c r="F184" s="53">
        <f ca="1">SUMIF(D$3:F$171,"Tickets",F$3:F$171)</f>
        <v>1030</v>
      </c>
      <c r="G184" s="61">
        <f ca="1">SUM(F184:F186)</f>
        <v>2794</v>
      </c>
      <c r="H184" s="62"/>
    </row>
    <row r="185" customHeight="1" spans="5:9">
      <c r="E185" s="55" t="s">
        <v>210</v>
      </c>
      <c r="F185" s="53">
        <f ca="1">SUMIF(D$3:F$171,"Transport",F$3:F$171)</f>
        <v>1164</v>
      </c>
      <c r="G185" s="66"/>
      <c r="I185" s="67" t="s">
        <v>300</v>
      </c>
    </row>
    <row r="186" customHeight="1" spans="5:9">
      <c r="E186" s="55" t="s">
        <v>201</v>
      </c>
      <c r="F186" s="53">
        <f ca="1">SUMIF(D$3:F$171,"Fuel",F$3:F$171)</f>
        <v>600</v>
      </c>
      <c r="G186" s="68"/>
      <c r="I186" s="53">
        <f ca="1">F173-F188</f>
        <v>401.900000000001</v>
      </c>
    </row>
    <row r="187" customHeight="1" spans="5:6">
      <c r="E187" s="55" t="s">
        <v>219</v>
      </c>
      <c r="F187" s="53">
        <f ca="1">SUMIF(D$3:F$171,"Others",F$3:F$171)</f>
        <v>24907</v>
      </c>
    </row>
    <row r="188" customHeight="1" spans="5:6">
      <c r="E188" s="69" t="s">
        <v>7</v>
      </c>
      <c r="F188" s="70">
        <f ca="1">SUM(F178:F187)</f>
        <v>58983.62</v>
      </c>
    </row>
  </sheetData>
  <mergeCells count="16">
    <mergeCell ref="N1:O1"/>
    <mergeCell ref="A1:A2"/>
    <mergeCell ref="B1:B2"/>
    <mergeCell ref="C1:C2"/>
    <mergeCell ref="D1:D2"/>
    <mergeCell ref="E1:E2"/>
    <mergeCell ref="F1:F2"/>
    <mergeCell ref="G1:G2"/>
    <mergeCell ref="G178:G180"/>
    <mergeCell ref="G184:G186"/>
    <mergeCell ref="H1:H2"/>
    <mergeCell ref="I1:I2"/>
    <mergeCell ref="J1:J2"/>
    <mergeCell ref="K1:K2"/>
    <mergeCell ref="L1:L2"/>
    <mergeCell ref="M1:M2"/>
  </mergeCells>
  <conditionalFormatting sqref="H62 H75 H85">
    <cfRule type="expression" dxfId="0" priority="1">
      <formula>"F56"</formula>
    </cfRule>
  </conditionalFormatting>
  <dataValidations count="1">
    <dataValidation type="list" allowBlank="1" showErrorMessage="1" sqref="D3:D168">
      <formula1>"Grocery,Others,Home,Food,Snacks,Tickets,Fuel,Transport,Dress,Health"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8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sheetData>
    <row r="1" customHeight="1" spans="1:14">
      <c r="A1" s="163" t="s">
        <v>72</v>
      </c>
      <c r="B1" s="1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206</v>
      </c>
      <c r="J1" s="4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164" t="s">
        <v>346</v>
      </c>
      <c r="B3" s="213" t="s">
        <v>6</v>
      </c>
      <c r="C3" s="77"/>
      <c r="D3" s="76">
        <v>18560.21</v>
      </c>
      <c r="E3" s="78"/>
      <c r="F3" s="79">
        <f>D3-E3</f>
        <v>18560.21</v>
      </c>
      <c r="G3" s="142">
        <f>H3+I3+J3+K3+L3+M3+N3</f>
        <v>65915.21</v>
      </c>
      <c r="H3" s="105">
        <v>57</v>
      </c>
      <c r="I3" s="105">
        <v>53203.72</v>
      </c>
      <c r="J3" s="105">
        <v>2007.9</v>
      </c>
      <c r="K3" s="105">
        <v>0</v>
      </c>
      <c r="L3" s="105">
        <v>565.59</v>
      </c>
      <c r="M3" s="105">
        <f>7000+1500</f>
        <v>8500</v>
      </c>
      <c r="N3" s="105">
        <f>1500+40+30+11</f>
        <v>1581</v>
      </c>
    </row>
    <row r="4" customHeight="1" spans="1:14">
      <c r="A4" s="164" t="s">
        <v>347</v>
      </c>
      <c r="B4" s="213" t="s">
        <v>74</v>
      </c>
      <c r="C4" s="77"/>
      <c r="D4" s="76">
        <f>36563</f>
        <v>36563</v>
      </c>
      <c r="E4" s="78"/>
      <c r="F4" s="79">
        <f t="shared" ref="F4:F126" si="0">(D4-E4)+F3</f>
        <v>55123.21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166"/>
      <c r="B5" s="213" t="s">
        <v>17</v>
      </c>
      <c r="C5" s="77" t="s">
        <v>86</v>
      </c>
      <c r="D5" s="76"/>
      <c r="E5" s="78">
        <v>60</v>
      </c>
      <c r="F5" s="79">
        <f t="shared" si="0"/>
        <v>55063.21</v>
      </c>
      <c r="G5" s="77"/>
      <c r="H5" s="77"/>
      <c r="I5" s="77"/>
      <c r="J5" s="77"/>
      <c r="K5" s="77"/>
      <c r="L5" s="77"/>
      <c r="M5" s="77"/>
      <c r="N5" s="77"/>
    </row>
    <row r="6" customHeight="1" spans="1:14">
      <c r="A6" s="166"/>
      <c r="B6" s="213" t="s">
        <v>129</v>
      </c>
      <c r="C6" s="77" t="s">
        <v>210</v>
      </c>
      <c r="D6" s="76"/>
      <c r="E6" s="78">
        <v>452</v>
      </c>
      <c r="F6" s="79">
        <f t="shared" si="0"/>
        <v>54611.21</v>
      </c>
      <c r="G6" s="77"/>
      <c r="H6" s="77"/>
      <c r="I6" s="77"/>
      <c r="J6" s="77"/>
      <c r="K6" s="77"/>
      <c r="L6" s="77"/>
      <c r="M6" s="77"/>
      <c r="N6" s="77"/>
    </row>
    <row r="7" customHeight="1" spans="1:14">
      <c r="A7" s="166" t="s">
        <v>348</v>
      </c>
      <c r="B7" s="213" t="s">
        <v>349</v>
      </c>
      <c r="C7" s="77"/>
      <c r="D7" s="76">
        <v>6</v>
      </c>
      <c r="E7" s="78"/>
      <c r="F7" s="79">
        <f t="shared" si="0"/>
        <v>54617.21</v>
      </c>
      <c r="G7" s="77"/>
      <c r="H7" s="77"/>
      <c r="I7" s="77"/>
      <c r="J7" s="77"/>
      <c r="K7" s="77"/>
      <c r="L7" s="77"/>
      <c r="M7" s="77"/>
      <c r="N7" s="77"/>
    </row>
    <row r="8" customHeight="1" spans="1:14">
      <c r="A8" s="166"/>
      <c r="B8" s="213" t="s">
        <v>350</v>
      </c>
      <c r="C8" s="77" t="s">
        <v>219</v>
      </c>
      <c r="D8" s="76"/>
      <c r="E8" s="78">
        <v>3700</v>
      </c>
      <c r="F8" s="79">
        <f t="shared" si="0"/>
        <v>50917.21</v>
      </c>
      <c r="G8" s="77"/>
      <c r="H8" s="77"/>
      <c r="I8" s="77"/>
      <c r="J8" s="77"/>
      <c r="K8" s="77"/>
      <c r="L8" s="77"/>
      <c r="M8" s="77"/>
      <c r="N8" s="77"/>
    </row>
    <row r="9" customHeight="1" spans="1:14">
      <c r="A9" s="166"/>
      <c r="B9" s="213" t="s">
        <v>24</v>
      </c>
      <c r="C9" s="77" t="s">
        <v>214</v>
      </c>
      <c r="D9" s="76"/>
      <c r="E9" s="78">
        <v>15000</v>
      </c>
      <c r="F9" s="79">
        <f t="shared" si="0"/>
        <v>35917.21</v>
      </c>
      <c r="G9" s="77"/>
      <c r="H9" s="77"/>
      <c r="I9" s="77"/>
      <c r="J9" s="77"/>
      <c r="K9" s="77"/>
      <c r="L9" s="77"/>
      <c r="M9" s="77"/>
      <c r="N9" s="77"/>
    </row>
    <row r="10" customHeight="1" spans="1:14">
      <c r="A10" s="166"/>
      <c r="B10" s="213" t="s">
        <v>25</v>
      </c>
      <c r="C10" s="77" t="s">
        <v>219</v>
      </c>
      <c r="D10" s="76"/>
      <c r="E10" s="78">
        <v>25</v>
      </c>
      <c r="F10" s="79">
        <f t="shared" si="0"/>
        <v>35892.21</v>
      </c>
      <c r="G10" s="172"/>
      <c r="H10" s="105"/>
      <c r="I10" s="105"/>
      <c r="J10" s="105"/>
      <c r="K10" s="105"/>
      <c r="L10" s="105"/>
      <c r="M10" s="105"/>
      <c r="N10" s="105"/>
    </row>
    <row r="11" customHeight="1" spans="1:14">
      <c r="A11" s="166"/>
      <c r="B11" s="213" t="s">
        <v>221</v>
      </c>
      <c r="C11" s="77" t="s">
        <v>214</v>
      </c>
      <c r="D11" s="76"/>
      <c r="E11" s="78">
        <v>1364</v>
      </c>
      <c r="F11" s="79">
        <f t="shared" si="0"/>
        <v>34528.21</v>
      </c>
      <c r="G11" s="172"/>
      <c r="H11" s="105"/>
      <c r="I11" s="105"/>
      <c r="J11" s="105"/>
      <c r="K11" s="105"/>
      <c r="L11" s="105"/>
      <c r="M11" s="105"/>
      <c r="N11" s="105"/>
    </row>
    <row r="12" customHeight="1" spans="1:14">
      <c r="A12" s="166"/>
      <c r="B12" s="213" t="s">
        <v>129</v>
      </c>
      <c r="C12" s="77" t="s">
        <v>210</v>
      </c>
      <c r="D12" s="76"/>
      <c r="E12" s="78">
        <v>407</v>
      </c>
      <c r="F12" s="79">
        <f t="shared" si="0"/>
        <v>34121.21</v>
      </c>
      <c r="G12" s="172"/>
      <c r="H12" s="105"/>
      <c r="I12" s="105"/>
      <c r="J12" s="105"/>
      <c r="K12" s="105"/>
      <c r="L12" s="105"/>
      <c r="M12" s="105"/>
      <c r="N12" s="105"/>
    </row>
    <row r="13" customHeight="1" spans="1:14">
      <c r="A13" s="166"/>
      <c r="B13" s="213" t="s">
        <v>129</v>
      </c>
      <c r="C13" s="77" t="s">
        <v>210</v>
      </c>
      <c r="D13" s="76"/>
      <c r="E13" s="78">
        <v>50</v>
      </c>
      <c r="F13" s="79">
        <f t="shared" si="0"/>
        <v>34071.21</v>
      </c>
      <c r="H13" s="77"/>
      <c r="I13" s="77"/>
      <c r="J13" s="77"/>
      <c r="K13" s="77"/>
      <c r="L13" s="77"/>
      <c r="M13" s="77"/>
      <c r="N13" s="77"/>
    </row>
    <row r="14" customHeight="1" spans="1:14">
      <c r="A14" s="166" t="s">
        <v>351</v>
      </c>
      <c r="B14" s="213"/>
      <c r="C14" s="77" t="s">
        <v>27</v>
      </c>
      <c r="D14" s="76"/>
      <c r="E14" s="78">
        <v>539</v>
      </c>
      <c r="F14" s="79">
        <f t="shared" si="0"/>
        <v>33532.21</v>
      </c>
      <c r="G14" s="77"/>
      <c r="H14" s="77"/>
      <c r="I14" s="77"/>
      <c r="J14" s="77"/>
      <c r="K14" s="77"/>
      <c r="L14" s="77"/>
      <c r="M14" s="77"/>
      <c r="N14" s="77"/>
    </row>
    <row r="15" customHeight="1" spans="1:14">
      <c r="A15" s="166"/>
      <c r="B15" s="213"/>
      <c r="C15" s="77" t="s">
        <v>219</v>
      </c>
      <c r="D15" s="76"/>
      <c r="E15" s="78">
        <v>200</v>
      </c>
      <c r="F15" s="79">
        <f t="shared" si="0"/>
        <v>33332.21</v>
      </c>
      <c r="G15" s="77"/>
      <c r="H15" s="77"/>
      <c r="I15" s="77"/>
      <c r="J15" s="77"/>
      <c r="K15" s="77"/>
      <c r="L15" s="77"/>
      <c r="M15" s="77"/>
      <c r="N15" s="77"/>
    </row>
    <row r="16" customHeight="1" spans="1:6">
      <c r="A16" s="166"/>
      <c r="B16" s="213" t="s">
        <v>33</v>
      </c>
      <c r="C16" s="77" t="s">
        <v>201</v>
      </c>
      <c r="D16" s="76"/>
      <c r="E16" s="78">
        <v>200</v>
      </c>
      <c r="F16" s="79">
        <f t="shared" si="0"/>
        <v>33132.21</v>
      </c>
    </row>
    <row r="17" customHeight="1" spans="1:6">
      <c r="A17" s="166"/>
      <c r="B17" s="213" t="s">
        <v>17</v>
      </c>
      <c r="C17" s="77" t="s">
        <v>86</v>
      </c>
      <c r="D17" s="76"/>
      <c r="E17" s="78">
        <v>237</v>
      </c>
      <c r="F17" s="79">
        <f t="shared" si="0"/>
        <v>32895.21</v>
      </c>
    </row>
    <row r="18" customHeight="1" spans="1:6">
      <c r="A18" s="166" t="s">
        <v>352</v>
      </c>
      <c r="B18" s="213" t="s">
        <v>37</v>
      </c>
      <c r="C18" s="77" t="s">
        <v>86</v>
      </c>
      <c r="D18" s="76"/>
      <c r="E18" s="78">
        <v>158</v>
      </c>
      <c r="F18" s="79">
        <f t="shared" si="0"/>
        <v>32737.21</v>
      </c>
    </row>
    <row r="19" customHeight="1" spans="1:14">
      <c r="A19" s="166" t="s">
        <v>353</v>
      </c>
      <c r="B19" s="213" t="s">
        <v>21</v>
      </c>
      <c r="C19" s="77" t="s">
        <v>27</v>
      </c>
      <c r="D19" s="76"/>
      <c r="E19" s="78">
        <v>1737.2</v>
      </c>
      <c r="F19" s="79">
        <f t="shared" si="0"/>
        <v>31000.01</v>
      </c>
      <c r="G19" s="77"/>
      <c r="H19" s="77"/>
      <c r="I19" s="77"/>
      <c r="J19" s="77"/>
      <c r="K19" s="77"/>
      <c r="L19" s="77"/>
      <c r="M19" s="77"/>
      <c r="N19" s="77"/>
    </row>
    <row r="20" customHeight="1" spans="1:14">
      <c r="A20" s="179"/>
      <c r="B20" s="213" t="s">
        <v>354</v>
      </c>
      <c r="C20" s="77" t="s">
        <v>27</v>
      </c>
      <c r="D20" s="76"/>
      <c r="E20" s="78">
        <v>450</v>
      </c>
      <c r="F20" s="79">
        <f t="shared" si="0"/>
        <v>30550.01</v>
      </c>
      <c r="G20" s="77"/>
      <c r="H20" s="77"/>
      <c r="I20" s="77"/>
      <c r="J20" s="77"/>
      <c r="K20" s="77"/>
      <c r="L20" s="77"/>
      <c r="M20" s="77"/>
      <c r="N20" s="77"/>
    </row>
    <row r="21" customHeight="1" spans="1:14">
      <c r="A21" s="166"/>
      <c r="B21" s="213" t="s">
        <v>355</v>
      </c>
      <c r="C21" s="77" t="s">
        <v>245</v>
      </c>
      <c r="D21" s="76"/>
      <c r="E21" s="78">
        <v>113</v>
      </c>
      <c r="F21" s="79">
        <f t="shared" si="0"/>
        <v>30437.01</v>
      </c>
      <c r="G21" s="77"/>
      <c r="H21" s="77"/>
      <c r="I21" s="77"/>
      <c r="J21" s="77"/>
      <c r="K21" s="77"/>
      <c r="L21" s="77"/>
      <c r="M21" s="77"/>
      <c r="N21" s="77"/>
    </row>
    <row r="22" customHeight="1" spans="1:14">
      <c r="A22" s="166"/>
      <c r="B22" s="213" t="s">
        <v>356</v>
      </c>
      <c r="C22" s="77" t="s">
        <v>27</v>
      </c>
      <c r="D22" s="76"/>
      <c r="E22" s="78">
        <v>427.5</v>
      </c>
      <c r="F22" s="79">
        <f t="shared" si="0"/>
        <v>30009.51</v>
      </c>
      <c r="G22" s="172"/>
      <c r="H22" s="105"/>
      <c r="I22" s="105"/>
      <c r="J22" s="105"/>
      <c r="K22" s="105"/>
      <c r="L22" s="105"/>
      <c r="M22" s="105"/>
      <c r="N22" s="105"/>
    </row>
    <row r="23" customHeight="1" spans="1:12">
      <c r="A23" s="166"/>
      <c r="B23" s="213" t="s">
        <v>356</v>
      </c>
      <c r="C23" s="77" t="s">
        <v>27</v>
      </c>
      <c r="D23" s="76"/>
      <c r="E23" s="78">
        <v>4485.35</v>
      </c>
      <c r="F23" s="79">
        <f t="shared" si="0"/>
        <v>25524.16</v>
      </c>
      <c r="G23" s="77"/>
      <c r="I23" s="105"/>
      <c r="L23" s="77"/>
    </row>
    <row r="24" customHeight="1" spans="1:14">
      <c r="A24" s="166" t="s">
        <v>357</v>
      </c>
      <c r="B24" s="213" t="s">
        <v>59</v>
      </c>
      <c r="C24" s="77" t="s">
        <v>86</v>
      </c>
      <c r="D24" s="76"/>
      <c r="E24" s="78">
        <v>45</v>
      </c>
      <c r="F24" s="79">
        <f t="shared" si="0"/>
        <v>25479.16</v>
      </c>
      <c r="G24" s="110"/>
      <c r="H24" s="105"/>
      <c r="I24" s="105"/>
      <c r="J24" s="105"/>
      <c r="K24" s="105"/>
      <c r="L24" s="105"/>
      <c r="M24" s="105"/>
      <c r="N24" s="105"/>
    </row>
    <row r="25" customHeight="1" spans="1:14">
      <c r="A25" s="214">
        <v>45874</v>
      </c>
      <c r="B25" s="213" t="s">
        <v>358</v>
      </c>
      <c r="C25" s="77" t="s">
        <v>245</v>
      </c>
      <c r="D25" s="76"/>
      <c r="E25" s="78">
        <v>750</v>
      </c>
      <c r="F25" s="79">
        <f t="shared" si="0"/>
        <v>24729.16</v>
      </c>
      <c r="G25" s="110"/>
      <c r="H25" s="110"/>
      <c r="I25" s="110"/>
      <c r="J25" s="110"/>
      <c r="K25" s="110"/>
      <c r="L25" s="110"/>
      <c r="M25" s="110"/>
      <c r="N25" s="110"/>
    </row>
    <row r="26" customHeight="1" spans="1:14">
      <c r="A26" s="166"/>
      <c r="B26" s="213" t="s">
        <v>91</v>
      </c>
      <c r="C26" s="77" t="s">
        <v>245</v>
      </c>
      <c r="D26" s="76"/>
      <c r="E26" s="78">
        <v>557</v>
      </c>
      <c r="F26" s="79">
        <f t="shared" si="0"/>
        <v>24172.16</v>
      </c>
      <c r="G26" s="110"/>
      <c r="H26" s="110"/>
      <c r="I26" s="110"/>
      <c r="J26" s="110"/>
      <c r="K26" s="110"/>
      <c r="L26" s="110"/>
      <c r="M26" s="110"/>
      <c r="N26" s="110"/>
    </row>
    <row r="27" customHeight="1" spans="1:14">
      <c r="A27" s="166"/>
      <c r="B27" s="213" t="s">
        <v>359</v>
      </c>
      <c r="C27" s="77" t="s">
        <v>224</v>
      </c>
      <c r="D27" s="76"/>
      <c r="E27" s="78">
        <v>135</v>
      </c>
      <c r="F27" s="79">
        <f t="shared" si="0"/>
        <v>24037.16</v>
      </c>
      <c r="G27" s="110"/>
      <c r="H27" s="110"/>
      <c r="I27" s="110"/>
      <c r="J27" s="110"/>
      <c r="K27" s="110"/>
      <c r="L27" s="110"/>
      <c r="M27" s="110"/>
      <c r="N27" s="110"/>
    </row>
    <row r="28" customHeight="1" spans="1:6">
      <c r="A28" s="166"/>
      <c r="B28" s="213" t="s">
        <v>360</v>
      </c>
      <c r="C28" s="77" t="s">
        <v>214</v>
      </c>
      <c r="D28" s="76"/>
      <c r="E28" s="78">
        <v>1500</v>
      </c>
      <c r="F28" s="79">
        <f t="shared" si="0"/>
        <v>22537.16</v>
      </c>
    </row>
    <row r="29" customHeight="1" spans="1:6">
      <c r="A29" s="166"/>
      <c r="B29" s="215" t="s">
        <v>361</v>
      </c>
      <c r="C29" s="168" t="s">
        <v>219</v>
      </c>
      <c r="D29" s="18"/>
      <c r="E29" s="19">
        <v>765.27</v>
      </c>
      <c r="F29" s="79">
        <f t="shared" si="0"/>
        <v>21771.89</v>
      </c>
    </row>
    <row r="30" customHeight="1" spans="1:6">
      <c r="A30" s="166"/>
      <c r="B30" s="215" t="s">
        <v>362</v>
      </c>
      <c r="C30" s="168" t="s">
        <v>219</v>
      </c>
      <c r="D30" s="18"/>
      <c r="E30" s="19">
        <v>146</v>
      </c>
      <c r="F30" s="79">
        <f t="shared" si="0"/>
        <v>21625.89</v>
      </c>
    </row>
    <row r="31" customHeight="1" spans="1:6">
      <c r="A31" s="166"/>
      <c r="B31" s="215" t="s">
        <v>363</v>
      </c>
      <c r="C31" s="168" t="s">
        <v>86</v>
      </c>
      <c r="D31" s="18"/>
      <c r="E31" s="19">
        <v>146.9</v>
      </c>
      <c r="F31" s="79">
        <f t="shared" si="0"/>
        <v>21478.99</v>
      </c>
    </row>
    <row r="32" customHeight="1" spans="1:14">
      <c r="A32" s="166"/>
      <c r="B32" s="213" t="s">
        <v>33</v>
      </c>
      <c r="C32" s="77" t="s">
        <v>201</v>
      </c>
      <c r="D32" s="76"/>
      <c r="E32" s="78">
        <v>100</v>
      </c>
      <c r="F32" s="79">
        <f t="shared" si="0"/>
        <v>21378.99</v>
      </c>
      <c r="G32" s="21">
        <f>G33-(70000+10000-21593)</f>
        <v>10226.99</v>
      </c>
      <c r="H32" s="110"/>
      <c r="I32" s="110"/>
      <c r="J32" s="110"/>
      <c r="K32" s="110"/>
      <c r="L32" s="110"/>
      <c r="M32" s="110"/>
      <c r="N32" s="110"/>
    </row>
    <row r="33" customHeight="1" spans="1:14">
      <c r="A33" s="166"/>
      <c r="B33" s="216" t="s">
        <v>127</v>
      </c>
      <c r="C33" s="77"/>
      <c r="D33" s="76"/>
      <c r="E33" s="78">
        <v>100</v>
      </c>
      <c r="F33" s="79">
        <f t="shared" si="0"/>
        <v>21278.99</v>
      </c>
      <c r="G33" s="142">
        <f>H33+I33+J33+K33+L33+M33+N33</f>
        <v>68633.99</v>
      </c>
      <c r="H33" s="105">
        <v>57</v>
      </c>
      <c r="I33" s="105">
        <v>51145.55</v>
      </c>
      <c r="J33" s="105">
        <v>2007.9</v>
      </c>
      <c r="K33" s="105">
        <v>0</v>
      </c>
      <c r="L33" s="105">
        <v>5942.54</v>
      </c>
      <c r="M33" s="105">
        <f>7000+1500</f>
        <v>8500</v>
      </c>
      <c r="N33" s="105">
        <f>940+30+11</f>
        <v>981</v>
      </c>
    </row>
    <row r="34" customHeight="1" spans="1:14">
      <c r="A34" s="169"/>
      <c r="B34" s="217" t="s">
        <v>364</v>
      </c>
      <c r="C34" s="86" t="s">
        <v>86</v>
      </c>
      <c r="D34" s="83"/>
      <c r="E34" s="84">
        <v>15</v>
      </c>
      <c r="F34" s="79">
        <f t="shared" si="0"/>
        <v>21263.99</v>
      </c>
      <c r="G34" s="86"/>
      <c r="H34" s="86"/>
      <c r="I34" s="86"/>
      <c r="J34" s="86"/>
      <c r="K34" s="86"/>
      <c r="L34" s="86"/>
      <c r="M34" s="86"/>
      <c r="N34" s="86"/>
    </row>
    <row r="35" customHeight="1" spans="1:12">
      <c r="A35" s="166"/>
      <c r="B35" s="213" t="s">
        <v>106</v>
      </c>
      <c r="C35" s="77" t="s">
        <v>27</v>
      </c>
      <c r="D35" s="76"/>
      <c r="E35" s="78">
        <v>74</v>
      </c>
      <c r="F35" s="79">
        <f t="shared" si="0"/>
        <v>21189.99</v>
      </c>
      <c r="G35" s="77"/>
      <c r="I35" s="105"/>
      <c r="L35" s="77"/>
    </row>
    <row r="36" customHeight="1" spans="1:14">
      <c r="A36" s="166" t="s">
        <v>365</v>
      </c>
      <c r="B36" s="213" t="s">
        <v>366</v>
      </c>
      <c r="C36" s="77" t="s">
        <v>214</v>
      </c>
      <c r="D36" s="76"/>
      <c r="E36" s="78">
        <v>1495</v>
      </c>
      <c r="F36" s="79">
        <f t="shared" si="0"/>
        <v>19694.99</v>
      </c>
      <c r="G36" s="110"/>
      <c r="H36" s="105"/>
      <c r="I36" s="105"/>
      <c r="J36" s="105"/>
      <c r="K36" s="105"/>
      <c r="L36" s="105"/>
      <c r="M36" s="105"/>
      <c r="N36" s="105"/>
    </row>
    <row r="37" customHeight="1" spans="1:6">
      <c r="A37" s="166"/>
      <c r="B37" s="213" t="s">
        <v>367</v>
      </c>
      <c r="C37" s="77" t="s">
        <v>27</v>
      </c>
      <c r="D37" s="76"/>
      <c r="E37" s="78">
        <v>283</v>
      </c>
      <c r="F37" s="79">
        <f t="shared" si="0"/>
        <v>19411.99</v>
      </c>
    </row>
    <row r="38" customHeight="1" spans="1:6">
      <c r="A38" s="166"/>
      <c r="B38" s="213" t="s">
        <v>368</v>
      </c>
      <c r="C38" s="77" t="s">
        <v>27</v>
      </c>
      <c r="D38" s="76"/>
      <c r="E38" s="78">
        <v>210</v>
      </c>
      <c r="F38" s="79">
        <f t="shared" si="0"/>
        <v>19201.99</v>
      </c>
    </row>
    <row r="39" customHeight="1" spans="1:14">
      <c r="A39" s="166"/>
      <c r="B39" s="213"/>
      <c r="C39" s="77" t="s">
        <v>219</v>
      </c>
      <c r="D39" s="76"/>
      <c r="E39" s="78">
        <v>200</v>
      </c>
      <c r="F39" s="79">
        <f t="shared" si="0"/>
        <v>19001.99</v>
      </c>
      <c r="G39" s="110"/>
      <c r="H39" s="105"/>
      <c r="I39" s="105"/>
      <c r="J39" s="105"/>
      <c r="K39" s="105"/>
      <c r="L39" s="105"/>
      <c r="M39" s="105"/>
      <c r="N39" s="105"/>
    </row>
    <row r="40" customHeight="1" spans="1:14">
      <c r="A40" s="166"/>
      <c r="B40" s="213" t="s">
        <v>369</v>
      </c>
      <c r="C40" s="77" t="s">
        <v>219</v>
      </c>
      <c r="D40" s="76"/>
      <c r="E40" s="78">
        <v>49</v>
      </c>
      <c r="F40" s="79">
        <f t="shared" si="0"/>
        <v>18952.99</v>
      </c>
      <c r="G40" s="110"/>
      <c r="H40" s="110"/>
      <c r="I40" s="110"/>
      <c r="J40" s="110"/>
      <c r="K40" s="110"/>
      <c r="L40" s="110"/>
      <c r="M40" s="110"/>
      <c r="N40" s="110"/>
    </row>
    <row r="41" customHeight="1" spans="1:14">
      <c r="A41" s="166"/>
      <c r="B41" s="213" t="s">
        <v>192</v>
      </c>
      <c r="C41" s="77" t="s">
        <v>245</v>
      </c>
      <c r="D41" s="76"/>
      <c r="E41" s="78">
        <v>181</v>
      </c>
      <c r="F41" s="79">
        <f t="shared" si="0"/>
        <v>18771.99</v>
      </c>
      <c r="G41" s="21">
        <f>G42-(70000+10000-21593)</f>
        <v>5926.99000000001</v>
      </c>
      <c r="H41" s="110"/>
      <c r="I41" s="110"/>
      <c r="J41" s="110"/>
      <c r="K41" s="110"/>
      <c r="L41" s="110"/>
      <c r="M41" s="110"/>
      <c r="N41" s="110"/>
    </row>
    <row r="42" customHeight="1" spans="1:14">
      <c r="A42" s="166"/>
      <c r="B42" s="215" t="s">
        <v>194</v>
      </c>
      <c r="C42" s="168" t="s">
        <v>86</v>
      </c>
      <c r="D42" s="18"/>
      <c r="E42" s="19">
        <v>293</v>
      </c>
      <c r="F42" s="79">
        <f t="shared" si="0"/>
        <v>18478.99</v>
      </c>
      <c r="G42" s="142">
        <f>H42+I42+J42+K42+L42+M42+N42</f>
        <v>64333.99</v>
      </c>
      <c r="H42" s="105">
        <v>57</v>
      </c>
      <c r="I42" s="105">
        <v>50852.55</v>
      </c>
      <c r="J42" s="105">
        <v>2007.9</v>
      </c>
      <c r="K42" s="105">
        <v>0</v>
      </c>
      <c r="L42" s="105">
        <v>3635.54</v>
      </c>
      <c r="M42" s="105">
        <v>7000</v>
      </c>
      <c r="N42" s="105">
        <f>740+30+11</f>
        <v>781</v>
      </c>
    </row>
    <row r="43" customHeight="1" spans="1:14">
      <c r="A43" s="169" t="s">
        <v>370</v>
      </c>
      <c r="B43" s="217" t="s">
        <v>91</v>
      </c>
      <c r="C43" s="86" t="s">
        <v>245</v>
      </c>
      <c r="D43" s="83"/>
      <c r="E43" s="84">
        <f>15+6</f>
        <v>21</v>
      </c>
      <c r="F43" s="79">
        <f t="shared" si="0"/>
        <v>18457.99</v>
      </c>
      <c r="G43" s="218">
        <f>F46-G41</f>
        <v>12386</v>
      </c>
      <c r="H43" s="111"/>
      <c r="I43" s="188"/>
      <c r="J43" s="111"/>
      <c r="K43" s="111"/>
      <c r="L43" s="111"/>
      <c r="M43" s="111"/>
      <c r="N43" s="111"/>
    </row>
    <row r="44" customHeight="1" spans="1:6">
      <c r="A44" s="166"/>
      <c r="B44" s="213" t="s">
        <v>30</v>
      </c>
      <c r="C44" s="77" t="s">
        <v>27</v>
      </c>
      <c r="D44" s="76"/>
      <c r="E44" s="78">
        <v>50</v>
      </c>
      <c r="F44" s="79">
        <f t="shared" si="0"/>
        <v>18407.99</v>
      </c>
    </row>
    <row r="45" customHeight="1" spans="1:6">
      <c r="A45" s="166"/>
      <c r="B45" s="215" t="s">
        <v>371</v>
      </c>
      <c r="C45" s="168" t="s">
        <v>214</v>
      </c>
      <c r="D45" s="18"/>
      <c r="E45" s="19">
        <v>75</v>
      </c>
      <c r="F45" s="79">
        <f t="shared" si="0"/>
        <v>18332.99</v>
      </c>
    </row>
    <row r="46" customHeight="1" spans="1:14">
      <c r="A46" s="166"/>
      <c r="B46" s="213" t="s">
        <v>372</v>
      </c>
      <c r="C46" s="77" t="s">
        <v>219</v>
      </c>
      <c r="D46" s="76"/>
      <c r="E46" s="78">
        <v>20</v>
      </c>
      <c r="F46" s="79">
        <f t="shared" si="0"/>
        <v>18312.99</v>
      </c>
      <c r="G46" s="142">
        <f>H46+I46+J46+K46+L46+M46+N46</f>
        <v>18312.99</v>
      </c>
      <c r="H46" s="105">
        <v>0</v>
      </c>
      <c r="I46" s="105">
        <f>50777.55-30289-10065</f>
        <v>10423.55</v>
      </c>
      <c r="J46" s="105">
        <v>2007.9</v>
      </c>
      <c r="K46" s="105">
        <v>0</v>
      </c>
      <c r="L46" s="105">
        <v>3677.54</v>
      </c>
      <c r="M46" s="105">
        <v>1500</v>
      </c>
      <c r="N46" s="105">
        <v>704</v>
      </c>
    </row>
    <row r="47" customHeight="1" spans="1:14">
      <c r="A47" s="166"/>
      <c r="B47" s="213" t="s">
        <v>39</v>
      </c>
      <c r="C47" s="77" t="s">
        <v>27</v>
      </c>
      <c r="D47" s="76"/>
      <c r="E47" s="78">
        <v>837.83</v>
      </c>
      <c r="F47" s="79">
        <f t="shared" si="0"/>
        <v>17475.16</v>
      </c>
      <c r="G47" s="21"/>
      <c r="H47" s="110"/>
      <c r="I47" s="110"/>
      <c r="J47" s="110"/>
      <c r="K47" s="110"/>
      <c r="L47" s="110"/>
      <c r="M47" s="110"/>
      <c r="N47" s="110"/>
    </row>
    <row r="48" customHeight="1" spans="1:6">
      <c r="A48" s="166"/>
      <c r="B48" s="213" t="s">
        <v>91</v>
      </c>
      <c r="C48" s="77" t="s">
        <v>245</v>
      </c>
      <c r="D48" s="76"/>
      <c r="E48" s="78">
        <v>169</v>
      </c>
      <c r="F48" s="79">
        <f t="shared" si="0"/>
        <v>17306.16</v>
      </c>
    </row>
    <row r="49" customHeight="1" spans="1:14">
      <c r="A49" s="169" t="s">
        <v>373</v>
      </c>
      <c r="B49" s="219" t="s">
        <v>363</v>
      </c>
      <c r="C49" s="176" t="s">
        <v>86</v>
      </c>
      <c r="D49" s="97"/>
      <c r="E49" s="98">
        <v>285</v>
      </c>
      <c r="F49" s="79">
        <f t="shared" si="0"/>
        <v>17021.16</v>
      </c>
      <c r="G49" s="28"/>
      <c r="H49" s="28"/>
      <c r="I49" s="28"/>
      <c r="J49" s="28"/>
      <c r="K49" s="28"/>
      <c r="L49" s="28"/>
      <c r="M49" s="28"/>
      <c r="N49" s="28"/>
    </row>
    <row r="50" customHeight="1" spans="1:14">
      <c r="A50" s="166" t="s">
        <v>374</v>
      </c>
      <c r="B50" s="215" t="s">
        <v>363</v>
      </c>
      <c r="C50" s="168" t="s">
        <v>86</v>
      </c>
      <c r="D50" s="18"/>
      <c r="E50" s="19">
        <v>303</v>
      </c>
      <c r="F50" s="79">
        <f t="shared" si="0"/>
        <v>16718.16</v>
      </c>
      <c r="G50" s="12"/>
      <c r="H50" s="105"/>
      <c r="I50" s="105"/>
      <c r="J50" s="105"/>
      <c r="K50" s="105"/>
      <c r="L50" s="105"/>
      <c r="M50" s="105"/>
      <c r="N50" s="105"/>
    </row>
    <row r="51" customHeight="1" spans="1:14">
      <c r="A51" s="166" t="s">
        <v>373</v>
      </c>
      <c r="B51" s="213" t="s">
        <v>375</v>
      </c>
      <c r="C51" s="77" t="s">
        <v>86</v>
      </c>
      <c r="D51" s="76"/>
      <c r="E51" s="78">
        <v>45</v>
      </c>
      <c r="F51" s="79">
        <f t="shared" si="0"/>
        <v>16673.16</v>
      </c>
      <c r="G51" s="12"/>
      <c r="H51" s="105"/>
      <c r="I51" s="105"/>
      <c r="J51" s="105"/>
      <c r="K51" s="105"/>
      <c r="L51" s="105"/>
      <c r="M51" s="105"/>
      <c r="N51" s="105"/>
    </row>
    <row r="52" customHeight="1" spans="1:14">
      <c r="A52" s="166"/>
      <c r="B52" s="213" t="s">
        <v>376</v>
      </c>
      <c r="C52" s="77" t="s">
        <v>214</v>
      </c>
      <c r="D52" s="76"/>
      <c r="E52" s="78">
        <v>195</v>
      </c>
      <c r="F52" s="79">
        <f t="shared" si="0"/>
        <v>16478.16</v>
      </c>
      <c r="G52" s="12"/>
      <c r="H52" s="105"/>
      <c r="I52" s="105"/>
      <c r="J52" s="105"/>
      <c r="K52" s="105"/>
      <c r="L52" s="105"/>
      <c r="M52" s="105"/>
      <c r="N52" s="105"/>
    </row>
    <row r="53" customHeight="1" spans="1:14">
      <c r="A53" s="166" t="s">
        <v>377</v>
      </c>
      <c r="B53" s="213" t="s">
        <v>375</v>
      </c>
      <c r="C53" s="77" t="s">
        <v>86</v>
      </c>
      <c r="D53" s="76"/>
      <c r="E53" s="78">
        <v>63</v>
      </c>
      <c r="F53" s="79">
        <f t="shared" si="0"/>
        <v>16415.16</v>
      </c>
      <c r="G53" s="12"/>
      <c r="H53" s="105"/>
      <c r="I53" s="105"/>
      <c r="J53" s="105"/>
      <c r="K53" s="105"/>
      <c r="L53" s="105"/>
      <c r="M53" s="105"/>
      <c r="N53" s="105"/>
    </row>
    <row r="54" customHeight="1" spans="1:14">
      <c r="A54" s="166"/>
      <c r="B54" s="213" t="s">
        <v>378</v>
      </c>
      <c r="C54" s="77" t="s">
        <v>27</v>
      </c>
      <c r="D54" s="76"/>
      <c r="E54" s="78">
        <v>140</v>
      </c>
      <c r="F54" s="79">
        <f t="shared" si="0"/>
        <v>16275.16</v>
      </c>
      <c r="G54" s="12"/>
      <c r="H54" s="105"/>
      <c r="I54" s="105"/>
      <c r="J54" s="105"/>
      <c r="K54" s="105"/>
      <c r="L54" s="105"/>
      <c r="M54" s="105"/>
      <c r="N54" s="105"/>
    </row>
    <row r="55" customHeight="1" spans="1:14">
      <c r="A55" s="166"/>
      <c r="B55" s="213" t="s">
        <v>379</v>
      </c>
      <c r="C55" s="77" t="s">
        <v>214</v>
      </c>
      <c r="D55" s="76"/>
      <c r="E55" s="78">
        <v>120</v>
      </c>
      <c r="F55" s="79">
        <f t="shared" si="0"/>
        <v>16155.16</v>
      </c>
      <c r="G55" s="12"/>
      <c r="H55" s="105"/>
      <c r="I55" s="105"/>
      <c r="J55" s="105"/>
      <c r="K55" s="105"/>
      <c r="L55" s="105"/>
      <c r="M55" s="105"/>
      <c r="N55" s="105"/>
    </row>
    <row r="56" customHeight="1" spans="1:6">
      <c r="A56" s="166"/>
      <c r="B56" s="213" t="s">
        <v>380</v>
      </c>
      <c r="C56" s="77" t="s">
        <v>86</v>
      </c>
      <c r="D56" s="76"/>
      <c r="E56" s="78">
        <v>280</v>
      </c>
      <c r="F56" s="79">
        <f t="shared" si="0"/>
        <v>15875.16</v>
      </c>
    </row>
    <row r="57" customHeight="1" spans="1:14">
      <c r="A57" s="166"/>
      <c r="B57" s="213" t="s">
        <v>381</v>
      </c>
      <c r="C57" s="77" t="s">
        <v>201</v>
      </c>
      <c r="D57" s="76"/>
      <c r="E57" s="78">
        <v>10</v>
      </c>
      <c r="F57" s="79">
        <f t="shared" si="0"/>
        <v>15865.16</v>
      </c>
      <c r="G57" s="110"/>
      <c r="H57" s="110"/>
      <c r="I57" s="59"/>
      <c r="J57" s="110"/>
      <c r="K57" s="110"/>
      <c r="L57" s="110"/>
      <c r="M57" s="110"/>
      <c r="N57" s="110"/>
    </row>
    <row r="58" customHeight="1" spans="1:14">
      <c r="A58" s="220"/>
      <c r="B58" s="221" t="s">
        <v>379</v>
      </c>
      <c r="C58" s="206" t="s">
        <v>214</v>
      </c>
      <c r="D58" s="91"/>
      <c r="E58" s="92">
        <v>220</v>
      </c>
      <c r="F58" s="79">
        <f t="shared" si="0"/>
        <v>15645.16</v>
      </c>
      <c r="G58" s="222">
        <f>H58+I58+J58+K58+L58+M58+N58</f>
        <v>16145.16</v>
      </c>
      <c r="H58" s="223">
        <v>0</v>
      </c>
      <c r="I58" s="223">
        <v>9835.55</v>
      </c>
      <c r="J58" s="223">
        <v>2007.9</v>
      </c>
      <c r="K58" s="223">
        <v>0</v>
      </c>
      <c r="L58" s="223">
        <v>2227.71</v>
      </c>
      <c r="M58" s="223">
        <v>1500</v>
      </c>
      <c r="N58" s="224">
        <v>574</v>
      </c>
    </row>
    <row r="59" customHeight="1" spans="1:14">
      <c r="A59" s="166" t="s">
        <v>382</v>
      </c>
      <c r="B59" s="213"/>
      <c r="C59" s="77" t="s">
        <v>219</v>
      </c>
      <c r="D59" s="76"/>
      <c r="E59" s="78">
        <v>200</v>
      </c>
      <c r="F59" s="79">
        <f t="shared" si="0"/>
        <v>15445.16</v>
      </c>
      <c r="G59" s="21"/>
      <c r="H59" s="110"/>
      <c r="I59" s="110"/>
      <c r="J59" s="59"/>
      <c r="K59" s="110"/>
      <c r="L59" s="110"/>
      <c r="M59" s="110"/>
      <c r="N59" s="110"/>
    </row>
    <row r="60" customHeight="1" spans="1:14">
      <c r="A60" s="166"/>
      <c r="B60" s="213" t="s">
        <v>39</v>
      </c>
      <c r="C60" s="77" t="s">
        <v>27</v>
      </c>
      <c r="D60" s="76"/>
      <c r="E60" s="78">
        <v>121</v>
      </c>
      <c r="F60" s="79">
        <f t="shared" si="0"/>
        <v>15324.16</v>
      </c>
      <c r="G60" s="12"/>
      <c r="H60" s="105"/>
      <c r="I60" s="105"/>
      <c r="J60" s="105"/>
      <c r="K60" s="105"/>
      <c r="L60" s="105"/>
      <c r="M60" s="105"/>
      <c r="N60" s="105"/>
    </row>
    <row r="61" customHeight="1" spans="1:14">
      <c r="A61" s="166"/>
      <c r="B61" s="213" t="s">
        <v>383</v>
      </c>
      <c r="C61" s="77" t="s">
        <v>219</v>
      </c>
      <c r="D61" s="76"/>
      <c r="E61" s="78">
        <v>1.8</v>
      </c>
      <c r="F61" s="79">
        <f t="shared" si="0"/>
        <v>15322.36</v>
      </c>
      <c r="G61" s="110"/>
      <c r="H61" s="110"/>
      <c r="I61" s="59"/>
      <c r="J61" s="59"/>
      <c r="K61" s="110"/>
      <c r="L61" s="110"/>
      <c r="M61" s="110"/>
      <c r="N61" s="110"/>
    </row>
    <row r="62" customHeight="1" spans="1:14">
      <c r="A62" s="183"/>
      <c r="B62" s="213" t="s">
        <v>384</v>
      </c>
      <c r="C62" s="77"/>
      <c r="D62" s="76"/>
      <c r="E62" s="78">
        <v>2884</v>
      </c>
      <c r="F62" s="79">
        <f t="shared" si="0"/>
        <v>12438.36</v>
      </c>
      <c r="G62" s="110"/>
      <c r="H62" s="110"/>
      <c r="I62" s="110"/>
      <c r="J62" s="59"/>
      <c r="K62" s="110"/>
      <c r="L62" s="110"/>
      <c r="M62" s="110"/>
      <c r="N62" s="110"/>
    </row>
    <row r="63" customHeight="1" spans="1:12">
      <c r="A63" s="179"/>
      <c r="B63" s="213" t="s">
        <v>326</v>
      </c>
      <c r="C63" s="77" t="s">
        <v>27</v>
      </c>
      <c r="D63" s="76"/>
      <c r="E63" s="78">
        <v>176</v>
      </c>
      <c r="F63" s="79">
        <f t="shared" si="0"/>
        <v>12262.36</v>
      </c>
      <c r="G63" s="77"/>
      <c r="I63" s="105"/>
      <c r="L63" s="77"/>
    </row>
    <row r="64" customHeight="1" spans="1:12">
      <c r="A64" s="179"/>
      <c r="B64" s="213" t="s">
        <v>385</v>
      </c>
      <c r="C64" s="77" t="s">
        <v>27</v>
      </c>
      <c r="D64" s="76"/>
      <c r="E64" s="78">
        <v>75</v>
      </c>
      <c r="F64" s="79">
        <f t="shared" si="0"/>
        <v>12187.36</v>
      </c>
      <c r="G64" s="118"/>
      <c r="I64" s="105"/>
      <c r="L64" s="77"/>
    </row>
    <row r="65" customHeight="1" spans="1:6">
      <c r="A65" s="183"/>
      <c r="B65" s="213" t="s">
        <v>19</v>
      </c>
      <c r="C65" s="77" t="s">
        <v>27</v>
      </c>
      <c r="D65" s="76"/>
      <c r="E65" s="78">
        <v>120</v>
      </c>
      <c r="F65" s="79">
        <f t="shared" si="0"/>
        <v>12067.36</v>
      </c>
    </row>
    <row r="66" customHeight="1" spans="1:14">
      <c r="A66" s="179"/>
      <c r="B66" s="213" t="s">
        <v>386</v>
      </c>
      <c r="C66" s="77" t="s">
        <v>214</v>
      </c>
      <c r="D66" s="76"/>
      <c r="E66" s="78">
        <v>328</v>
      </c>
      <c r="F66" s="79">
        <f t="shared" si="0"/>
        <v>11739.36</v>
      </c>
      <c r="G66" s="110"/>
      <c r="H66" s="110"/>
      <c r="I66" s="59"/>
      <c r="J66" s="59"/>
      <c r="K66" s="110"/>
      <c r="L66" s="110"/>
      <c r="M66" s="110"/>
      <c r="N66" s="110"/>
    </row>
    <row r="67" customHeight="1" spans="1:7">
      <c r="A67" s="183"/>
      <c r="B67" s="213" t="s">
        <v>387</v>
      </c>
      <c r="C67" s="77" t="s">
        <v>214</v>
      </c>
      <c r="D67" s="76"/>
      <c r="E67" s="78">
        <v>79</v>
      </c>
      <c r="F67" s="79">
        <f t="shared" si="0"/>
        <v>11660.36</v>
      </c>
      <c r="G67" s="21"/>
    </row>
    <row r="68" customHeight="1" spans="1:14">
      <c r="A68" s="183"/>
      <c r="B68" s="213" t="s">
        <v>388</v>
      </c>
      <c r="C68" s="77" t="s">
        <v>219</v>
      </c>
      <c r="D68" s="76">
        <v>200</v>
      </c>
      <c r="E68" s="78"/>
      <c r="F68" s="79">
        <f t="shared" si="0"/>
        <v>11860.36</v>
      </c>
      <c r="G68" s="222">
        <f>I68+J68+K68+L68+M68+N68</f>
        <v>11084.36</v>
      </c>
      <c r="H68" s="223"/>
      <c r="I68" s="223">
        <v>4451.55</v>
      </c>
      <c r="J68" s="223">
        <v>1000</v>
      </c>
      <c r="K68" s="223">
        <v>0</v>
      </c>
      <c r="L68" s="223">
        <f>3946.81-388</f>
        <v>3558.81</v>
      </c>
      <c r="M68" s="223">
        <v>1500</v>
      </c>
      <c r="N68" s="224">
        <f>350+24+200</f>
        <v>574</v>
      </c>
    </row>
    <row r="69" customHeight="1" spans="1:14">
      <c r="A69" s="184" t="s">
        <v>389</v>
      </c>
      <c r="B69" s="217" t="s">
        <v>27</v>
      </c>
      <c r="C69" s="86" t="s">
        <v>27</v>
      </c>
      <c r="D69" s="83"/>
      <c r="E69" s="84">
        <v>388</v>
      </c>
      <c r="F69" s="79">
        <f t="shared" si="0"/>
        <v>11472.36</v>
      </c>
      <c r="G69" s="218"/>
      <c r="H69" s="225"/>
      <c r="I69" s="225"/>
      <c r="J69" s="225"/>
      <c r="K69" s="225"/>
      <c r="L69" s="225"/>
      <c r="M69" s="225"/>
      <c r="N69" s="218"/>
    </row>
    <row r="70" customHeight="1" spans="1:14">
      <c r="A70" s="179"/>
      <c r="B70" s="213" t="s">
        <v>390</v>
      </c>
      <c r="C70" s="77" t="s">
        <v>86</v>
      </c>
      <c r="D70" s="76"/>
      <c r="E70" s="78">
        <v>60</v>
      </c>
      <c r="F70" s="79">
        <f t="shared" si="0"/>
        <v>11412.36</v>
      </c>
      <c r="G70" s="110"/>
      <c r="H70" s="110"/>
      <c r="I70" s="110"/>
      <c r="J70" s="59"/>
      <c r="K70" s="211"/>
      <c r="L70" s="110"/>
      <c r="M70" s="110"/>
      <c r="N70" s="110"/>
    </row>
    <row r="71" customHeight="1" spans="1:14">
      <c r="A71" s="183"/>
      <c r="B71" s="213" t="s">
        <v>19</v>
      </c>
      <c r="C71" s="77" t="s">
        <v>27</v>
      </c>
      <c r="D71" s="76"/>
      <c r="E71" s="78">
        <v>120</v>
      </c>
      <c r="F71" s="79">
        <f t="shared" si="0"/>
        <v>11292.36</v>
      </c>
      <c r="G71" s="110"/>
      <c r="H71" s="110"/>
      <c r="I71" s="110"/>
      <c r="J71" s="59"/>
      <c r="K71" s="211"/>
      <c r="L71" s="110"/>
      <c r="M71" s="110"/>
      <c r="N71" s="110"/>
    </row>
    <row r="72" customHeight="1" spans="1:14">
      <c r="A72" s="183"/>
      <c r="B72" s="213" t="s">
        <v>27</v>
      </c>
      <c r="C72" s="77" t="s">
        <v>27</v>
      </c>
      <c r="D72" s="76"/>
      <c r="E72" s="78">
        <v>765.84</v>
      </c>
      <c r="F72" s="79">
        <f t="shared" si="0"/>
        <v>10526.52</v>
      </c>
      <c r="G72" s="77"/>
      <c r="H72" s="77"/>
      <c r="I72" s="77"/>
      <c r="J72" s="77"/>
      <c r="K72" s="227"/>
      <c r="L72" s="110"/>
      <c r="M72" s="77"/>
      <c r="N72" s="77"/>
    </row>
    <row r="73" customHeight="1" spans="1:14">
      <c r="A73" s="183"/>
      <c r="B73" s="213" t="s">
        <v>391</v>
      </c>
      <c r="C73" s="77" t="s">
        <v>214</v>
      </c>
      <c r="D73" s="76"/>
      <c r="E73" s="78">
        <v>200</v>
      </c>
      <c r="F73" s="79">
        <f t="shared" si="0"/>
        <v>10326.52</v>
      </c>
      <c r="G73" s="110"/>
      <c r="H73" s="110"/>
      <c r="I73" s="110"/>
      <c r="J73" s="59"/>
      <c r="K73" s="211"/>
      <c r="L73" s="110"/>
      <c r="M73" s="110"/>
      <c r="N73" s="110"/>
    </row>
    <row r="74" customHeight="1" spans="1:14">
      <c r="A74" s="183"/>
      <c r="B74" s="213" t="s">
        <v>392</v>
      </c>
      <c r="C74" s="77" t="s">
        <v>281</v>
      </c>
      <c r="D74" s="76">
        <v>3400</v>
      </c>
      <c r="E74" s="78"/>
      <c r="F74" s="79">
        <f t="shared" si="0"/>
        <v>13726.52</v>
      </c>
      <c r="G74" s="222">
        <f>I74+J74+K74+L74+M74+N74</f>
        <v>13726.52</v>
      </c>
      <c r="H74" s="223"/>
      <c r="I74" s="223">
        <v>4451.55</v>
      </c>
      <c r="J74" s="223">
        <v>1000</v>
      </c>
      <c r="K74" s="223">
        <v>0</v>
      </c>
      <c r="L74" s="223">
        <v>6200.97</v>
      </c>
      <c r="M74" s="223">
        <v>1500</v>
      </c>
      <c r="N74" s="224">
        <f>350+24+200</f>
        <v>574</v>
      </c>
    </row>
    <row r="75" customHeight="1" spans="1:14">
      <c r="A75" s="226"/>
      <c r="B75" s="217" t="s">
        <v>58</v>
      </c>
      <c r="C75" s="86" t="s">
        <v>224</v>
      </c>
      <c r="D75" s="83"/>
      <c r="E75" s="84">
        <v>75</v>
      </c>
      <c r="F75" s="79">
        <f t="shared" si="0"/>
        <v>13651.52</v>
      </c>
      <c r="G75" s="86"/>
      <c r="H75" s="86"/>
      <c r="I75" s="86"/>
      <c r="J75" s="86"/>
      <c r="K75" s="86"/>
      <c r="L75" s="86"/>
      <c r="M75" s="86"/>
      <c r="N75" s="86"/>
    </row>
    <row r="76" customHeight="1" spans="1:6">
      <c r="A76" s="179"/>
      <c r="B76" s="213" t="s">
        <v>27</v>
      </c>
      <c r="C76" s="77" t="s">
        <v>27</v>
      </c>
      <c r="D76" s="76"/>
      <c r="E76" s="78">
        <v>510.05</v>
      </c>
      <c r="F76" s="79">
        <f t="shared" si="0"/>
        <v>13141.47</v>
      </c>
    </row>
    <row r="77" customHeight="1" spans="1:14">
      <c r="A77" s="183"/>
      <c r="B77" s="213" t="s">
        <v>393</v>
      </c>
      <c r="C77" s="77" t="s">
        <v>219</v>
      </c>
      <c r="D77" s="76"/>
      <c r="E77" s="78">
        <v>1000</v>
      </c>
      <c r="F77" s="79">
        <f t="shared" si="0"/>
        <v>12141.47</v>
      </c>
      <c r="G77" s="110"/>
      <c r="H77" s="110"/>
      <c r="I77" s="110"/>
      <c r="J77" s="110"/>
      <c r="K77" s="110"/>
      <c r="L77" s="110"/>
      <c r="M77" s="110"/>
      <c r="N77" s="110"/>
    </row>
    <row r="78" customHeight="1" spans="1:6">
      <c r="A78" s="183"/>
      <c r="B78" s="213" t="s">
        <v>129</v>
      </c>
      <c r="C78" s="77" t="s">
        <v>210</v>
      </c>
      <c r="D78" s="76"/>
      <c r="E78" s="78">
        <v>407</v>
      </c>
      <c r="F78" s="79">
        <f t="shared" si="0"/>
        <v>11734.47</v>
      </c>
    </row>
    <row r="79" customHeight="1" spans="1:6">
      <c r="A79" s="203"/>
      <c r="B79" s="213" t="s">
        <v>394</v>
      </c>
      <c r="C79" s="77" t="s">
        <v>219</v>
      </c>
      <c r="D79" s="76"/>
      <c r="E79" s="78">
        <v>250</v>
      </c>
      <c r="F79" s="79">
        <f t="shared" si="0"/>
        <v>11484.47</v>
      </c>
    </row>
    <row r="80" customHeight="1" spans="1:14">
      <c r="A80" s="183"/>
      <c r="B80" s="213" t="s">
        <v>39</v>
      </c>
      <c r="C80" s="77" t="s">
        <v>27</v>
      </c>
      <c r="D80" s="76"/>
      <c r="E80" s="78">
        <v>384</v>
      </c>
      <c r="F80" s="79">
        <f t="shared" si="0"/>
        <v>11100.47</v>
      </c>
      <c r="G80" s="110"/>
      <c r="H80" s="110"/>
      <c r="I80" s="110"/>
      <c r="J80" s="110"/>
      <c r="K80" s="110"/>
      <c r="L80" s="110"/>
      <c r="M80" s="110"/>
      <c r="N80" s="110"/>
    </row>
    <row r="81" customHeight="1" spans="1:14">
      <c r="A81" s="183"/>
      <c r="B81" s="213" t="s">
        <v>17</v>
      </c>
      <c r="C81" s="77" t="s">
        <v>86</v>
      </c>
      <c r="D81" s="76"/>
      <c r="E81" s="78">
        <v>60</v>
      </c>
      <c r="F81" s="79">
        <f t="shared" si="0"/>
        <v>11040.47</v>
      </c>
      <c r="G81" s="110"/>
      <c r="H81" s="110"/>
      <c r="I81" s="110"/>
      <c r="J81" s="110"/>
      <c r="K81" s="110"/>
      <c r="L81" s="110"/>
      <c r="M81" s="110"/>
      <c r="N81" s="110"/>
    </row>
    <row r="82" customHeight="1" spans="1:14">
      <c r="A82" s="183"/>
      <c r="B82" s="213" t="s">
        <v>19</v>
      </c>
      <c r="C82" s="77" t="s">
        <v>27</v>
      </c>
      <c r="D82" s="76"/>
      <c r="E82" s="78">
        <v>120</v>
      </c>
      <c r="F82" s="79">
        <f t="shared" si="0"/>
        <v>10920.47</v>
      </c>
      <c r="G82" s="124"/>
      <c r="H82" s="125"/>
      <c r="I82" s="125"/>
      <c r="J82" s="125"/>
      <c r="K82" s="125"/>
      <c r="L82" s="125"/>
      <c r="M82" s="125"/>
      <c r="N82" s="124"/>
    </row>
    <row r="83" customHeight="1" spans="1:14">
      <c r="A83" s="183"/>
      <c r="B83" s="213" t="s">
        <v>163</v>
      </c>
      <c r="C83" s="77" t="s">
        <v>27</v>
      </c>
      <c r="D83" s="76"/>
      <c r="E83" s="78">
        <v>480</v>
      </c>
      <c r="F83" s="79">
        <f t="shared" si="0"/>
        <v>10440.47</v>
      </c>
      <c r="G83" s="110"/>
      <c r="H83" s="110"/>
      <c r="I83" s="110"/>
      <c r="J83" s="110"/>
      <c r="K83" s="110"/>
      <c r="L83" s="110"/>
      <c r="M83" s="110"/>
      <c r="N83" s="110"/>
    </row>
    <row r="84" customHeight="1" spans="1:12">
      <c r="A84" s="183"/>
      <c r="B84" s="213" t="s">
        <v>39</v>
      </c>
      <c r="C84" s="77" t="s">
        <v>27</v>
      </c>
      <c r="D84" s="76"/>
      <c r="E84" s="78">
        <v>345.76</v>
      </c>
      <c r="F84" s="79">
        <f t="shared" si="0"/>
        <v>10094.71</v>
      </c>
      <c r="G84" s="118"/>
      <c r="I84" s="105"/>
      <c r="L84" s="77"/>
    </row>
    <row r="85" customHeight="1" spans="1:14">
      <c r="A85" s="183"/>
      <c r="B85" s="213" t="s">
        <v>39</v>
      </c>
      <c r="C85" s="77" t="s">
        <v>27</v>
      </c>
      <c r="D85" s="76"/>
      <c r="E85" s="78">
        <v>40</v>
      </c>
      <c r="F85" s="79">
        <f t="shared" si="0"/>
        <v>10054.71</v>
      </c>
      <c r="G85" s="110"/>
      <c r="H85" s="105"/>
      <c r="I85" s="105"/>
      <c r="J85" s="105"/>
      <c r="K85" s="105"/>
      <c r="L85" s="105"/>
      <c r="M85" s="105"/>
      <c r="N85" s="105"/>
    </row>
    <row r="86" customHeight="1" spans="1:14">
      <c r="A86" s="183"/>
      <c r="B86" s="213" t="s">
        <v>395</v>
      </c>
      <c r="C86" s="77" t="s">
        <v>27</v>
      </c>
      <c r="D86" s="76"/>
      <c r="E86" s="78">
        <v>130</v>
      </c>
      <c r="F86" s="79">
        <f t="shared" si="0"/>
        <v>9924.70999999999</v>
      </c>
      <c r="G86" s="110"/>
      <c r="H86" s="110"/>
      <c r="I86" s="110"/>
      <c r="J86" s="110"/>
      <c r="K86" s="110"/>
      <c r="L86" s="110"/>
      <c r="M86" s="110"/>
      <c r="N86" s="110"/>
    </row>
    <row r="87" customHeight="1" spans="1:14">
      <c r="A87" s="183" t="s">
        <v>396</v>
      </c>
      <c r="B87" s="213" t="s">
        <v>33</v>
      </c>
      <c r="C87" s="77" t="s">
        <v>201</v>
      </c>
      <c r="D87" s="76"/>
      <c r="E87" s="78">
        <v>200</v>
      </c>
      <c r="F87" s="79">
        <f t="shared" si="0"/>
        <v>9724.70999999999</v>
      </c>
      <c r="G87" s="222">
        <f>I87+J87+K87+L87+M87+N87</f>
        <v>9724.71</v>
      </c>
      <c r="H87" s="223"/>
      <c r="I87" s="223">
        <v>4451.55</v>
      </c>
      <c r="J87" s="223">
        <v>1000</v>
      </c>
      <c r="K87" s="223">
        <v>0</v>
      </c>
      <c r="L87" s="223">
        <v>2199.16</v>
      </c>
      <c r="M87" s="223">
        <v>1500</v>
      </c>
      <c r="N87" s="224">
        <f>350+24+200</f>
        <v>574</v>
      </c>
    </row>
    <row r="88" customHeight="1" spans="1:14">
      <c r="A88" s="184" t="s">
        <v>397</v>
      </c>
      <c r="B88" s="217" t="s">
        <v>17</v>
      </c>
      <c r="C88" s="86" t="s">
        <v>86</v>
      </c>
      <c r="D88" s="83"/>
      <c r="E88" s="84">
        <v>45</v>
      </c>
      <c r="F88" s="79">
        <f t="shared" si="0"/>
        <v>9679.70999999999</v>
      </c>
      <c r="G88" s="111"/>
      <c r="H88" s="111"/>
      <c r="I88" s="111"/>
      <c r="J88" s="111"/>
      <c r="K88" s="111"/>
      <c r="L88" s="111"/>
      <c r="M88" s="111"/>
      <c r="N88" s="111"/>
    </row>
    <row r="89" customHeight="1" spans="1:14">
      <c r="A89" s="183"/>
      <c r="B89" s="213" t="s">
        <v>398</v>
      </c>
      <c r="C89" s="77" t="s">
        <v>27</v>
      </c>
      <c r="D89" s="76"/>
      <c r="E89" s="78">
        <v>30</v>
      </c>
      <c r="F89" s="79">
        <f t="shared" si="0"/>
        <v>9649.70999999999</v>
      </c>
      <c r="G89" s="110"/>
      <c r="H89" s="110"/>
      <c r="I89" s="110"/>
      <c r="J89" s="110"/>
      <c r="K89" s="110"/>
      <c r="L89" s="110"/>
      <c r="M89" s="110"/>
      <c r="N89" s="110"/>
    </row>
    <row r="90" customHeight="1" spans="1:14">
      <c r="A90" s="183"/>
      <c r="B90" s="213" t="s">
        <v>106</v>
      </c>
      <c r="C90" s="77" t="s">
        <v>27</v>
      </c>
      <c r="D90" s="76"/>
      <c r="E90" s="78">
        <v>96</v>
      </c>
      <c r="F90" s="79">
        <f t="shared" si="0"/>
        <v>9553.70999999999</v>
      </c>
      <c r="G90" s="110"/>
      <c r="H90" s="110"/>
      <c r="I90" s="110"/>
      <c r="J90" s="110"/>
      <c r="K90" s="110"/>
      <c r="L90" s="110"/>
      <c r="M90" s="110"/>
      <c r="N90" s="110"/>
    </row>
    <row r="91" customHeight="1" spans="1:14">
      <c r="A91" s="183"/>
      <c r="B91" s="213" t="s">
        <v>45</v>
      </c>
      <c r="C91" s="77" t="s">
        <v>27</v>
      </c>
      <c r="D91" s="76"/>
      <c r="E91" s="78">
        <v>120</v>
      </c>
      <c r="F91" s="79">
        <f t="shared" si="0"/>
        <v>9433.70999999999</v>
      </c>
      <c r="G91" s="110"/>
      <c r="H91" s="110"/>
      <c r="I91" s="110"/>
      <c r="J91" s="110"/>
      <c r="K91" s="110"/>
      <c r="L91" s="110"/>
      <c r="M91" s="110"/>
      <c r="N91" s="110"/>
    </row>
    <row r="92" customHeight="1" spans="1:14">
      <c r="A92" s="183" t="s">
        <v>399</v>
      </c>
      <c r="B92" s="213"/>
      <c r="C92" s="77" t="s">
        <v>219</v>
      </c>
      <c r="D92" s="76"/>
      <c r="E92" s="78">
        <v>200</v>
      </c>
      <c r="F92" s="79">
        <f t="shared" si="0"/>
        <v>9233.70999999999</v>
      </c>
      <c r="G92" s="124"/>
      <c r="H92" s="125"/>
      <c r="I92" s="125"/>
      <c r="J92" s="125"/>
      <c r="K92" s="125"/>
      <c r="L92" s="125"/>
      <c r="M92" s="125"/>
      <c r="N92" s="124"/>
    </row>
    <row r="93" customHeight="1" spans="1:14">
      <c r="A93" s="183"/>
      <c r="B93" s="213" t="s">
        <v>17</v>
      </c>
      <c r="C93" s="77" t="s">
        <v>86</v>
      </c>
      <c r="D93" s="76"/>
      <c r="E93" s="78">
        <v>205</v>
      </c>
      <c r="F93" s="79">
        <f t="shared" si="0"/>
        <v>9028.70999999999</v>
      </c>
      <c r="G93" s="77"/>
      <c r="H93" s="77"/>
      <c r="I93" s="77"/>
      <c r="J93" s="77"/>
      <c r="K93" s="77"/>
      <c r="L93" s="110"/>
      <c r="M93" s="77"/>
      <c r="N93" s="77"/>
    </row>
    <row r="94" customHeight="1" spans="1:14">
      <c r="A94" s="183"/>
      <c r="B94" s="213" t="s">
        <v>400</v>
      </c>
      <c r="C94" s="77" t="s">
        <v>27</v>
      </c>
      <c r="D94" s="76"/>
      <c r="E94" s="78">
        <v>225</v>
      </c>
      <c r="F94" s="79">
        <f t="shared" si="0"/>
        <v>8803.70999999999</v>
      </c>
      <c r="G94" s="110"/>
      <c r="H94" s="110"/>
      <c r="I94" s="110"/>
      <c r="J94" s="110"/>
      <c r="K94" s="110"/>
      <c r="L94" s="110"/>
      <c r="M94" s="110"/>
      <c r="N94" s="110"/>
    </row>
    <row r="95" customHeight="1" spans="1:14">
      <c r="A95" s="183"/>
      <c r="B95" s="213" t="s">
        <v>39</v>
      </c>
      <c r="C95" s="77" t="s">
        <v>27</v>
      </c>
      <c r="D95" s="76"/>
      <c r="E95" s="78">
        <v>132.4</v>
      </c>
      <c r="F95" s="79">
        <f t="shared" si="0"/>
        <v>8671.30999999999</v>
      </c>
      <c r="G95" s="124">
        <f>F96-G96</f>
        <v>0</v>
      </c>
      <c r="H95" s="110"/>
      <c r="I95" s="110"/>
      <c r="J95" s="110"/>
      <c r="K95" s="110"/>
      <c r="L95" s="110"/>
      <c r="M95" s="110"/>
      <c r="N95" s="110"/>
    </row>
    <row r="96" customHeight="1" spans="1:14">
      <c r="A96" s="183"/>
      <c r="B96" s="213" t="s">
        <v>401</v>
      </c>
      <c r="C96" s="77" t="s">
        <v>245</v>
      </c>
      <c r="D96" s="76"/>
      <c r="E96" s="78">
        <v>102</v>
      </c>
      <c r="F96" s="79">
        <f t="shared" si="0"/>
        <v>8569.30999999999</v>
      </c>
      <c r="G96" s="222">
        <f>I96+J96+K96+L96+M96+N96</f>
        <v>8569.31</v>
      </c>
      <c r="H96" s="223"/>
      <c r="I96" s="223">
        <v>4451.55</v>
      </c>
      <c r="J96" s="223">
        <v>1000</v>
      </c>
      <c r="K96" s="223">
        <v>0</v>
      </c>
      <c r="L96" s="223">
        <v>1345.76</v>
      </c>
      <c r="M96" s="223">
        <v>1500</v>
      </c>
      <c r="N96" s="224">
        <f>240+32</f>
        <v>272</v>
      </c>
    </row>
    <row r="97" customHeight="1" spans="1:14">
      <c r="A97" s="184"/>
      <c r="B97" s="217" t="s">
        <v>402</v>
      </c>
      <c r="C97" s="86" t="s">
        <v>214</v>
      </c>
      <c r="D97" s="83"/>
      <c r="E97" s="84">
        <v>240</v>
      </c>
      <c r="F97" s="85">
        <f t="shared" si="0"/>
        <v>8329.30999999999</v>
      </c>
      <c r="G97" s="28"/>
      <c r="H97" s="28"/>
      <c r="I97" s="28"/>
      <c r="J97" s="28"/>
      <c r="K97" s="28"/>
      <c r="L97" s="28"/>
      <c r="M97" s="28"/>
      <c r="N97" s="28"/>
    </row>
    <row r="98" customHeight="1" spans="1:14">
      <c r="A98" s="183"/>
      <c r="B98" s="213" t="s">
        <v>143</v>
      </c>
      <c r="C98" s="77" t="s">
        <v>224</v>
      </c>
      <c r="D98" s="76"/>
      <c r="E98" s="78">
        <v>80</v>
      </c>
      <c r="F98" s="79">
        <f t="shared" si="0"/>
        <v>8249.30999999999</v>
      </c>
      <c r="G98" s="124">
        <f>F99-G99</f>
        <v>0</v>
      </c>
      <c r="H98" s="110"/>
      <c r="I98" s="110"/>
      <c r="J98" s="110"/>
      <c r="K98" s="110"/>
      <c r="L98" s="110"/>
      <c r="M98" s="110"/>
      <c r="N98" s="110"/>
    </row>
    <row r="99" customHeight="1" spans="1:14">
      <c r="A99" s="183" t="s">
        <v>343</v>
      </c>
      <c r="B99" s="213" t="s">
        <v>403</v>
      </c>
      <c r="C99" s="77" t="s">
        <v>27</v>
      </c>
      <c r="D99" s="76"/>
      <c r="E99" s="78">
        <v>568.3</v>
      </c>
      <c r="F99" s="79">
        <f t="shared" si="0"/>
        <v>7681.00999999999</v>
      </c>
      <c r="G99" s="222">
        <f>I99+J99+K99+L99+M99+N99</f>
        <v>7681.01</v>
      </c>
      <c r="H99" s="223"/>
      <c r="I99" s="223">
        <v>4451.55</v>
      </c>
      <c r="J99" s="223">
        <v>1000</v>
      </c>
      <c r="K99" s="223">
        <v>0</v>
      </c>
      <c r="L99" s="223">
        <v>457.46</v>
      </c>
      <c r="M99" s="223">
        <v>1500</v>
      </c>
      <c r="N99" s="224">
        <f>240+32</f>
        <v>272</v>
      </c>
    </row>
    <row r="100" customHeight="1" spans="1:14">
      <c r="A100" s="184" t="s">
        <v>404</v>
      </c>
      <c r="B100" s="219" t="s">
        <v>405</v>
      </c>
      <c r="C100" s="176" t="s">
        <v>214</v>
      </c>
      <c r="D100" s="97"/>
      <c r="E100" s="98">
        <v>860.9</v>
      </c>
      <c r="F100" s="85">
        <f t="shared" si="0"/>
        <v>6820.10999999999</v>
      </c>
      <c r="G100" s="111"/>
      <c r="H100" s="111"/>
      <c r="I100" s="111"/>
      <c r="J100" s="111"/>
      <c r="K100" s="111"/>
      <c r="L100" s="111"/>
      <c r="M100" s="111"/>
      <c r="N100" s="111"/>
    </row>
    <row r="101" customHeight="1" spans="1:12">
      <c r="A101" s="183"/>
      <c r="B101" s="215" t="s">
        <v>406</v>
      </c>
      <c r="C101" s="168"/>
      <c r="D101" s="18"/>
      <c r="E101" s="19">
        <v>2000</v>
      </c>
      <c r="F101" s="79">
        <f t="shared" si="0"/>
        <v>4820.10999999999</v>
      </c>
      <c r="G101" s="118"/>
      <c r="I101" s="105"/>
      <c r="L101" s="77"/>
    </row>
    <row r="102" customHeight="1" spans="1:6">
      <c r="A102" s="183"/>
      <c r="B102" s="213"/>
      <c r="C102" s="77"/>
      <c r="D102" s="76">
        <v>2000</v>
      </c>
      <c r="E102" s="78"/>
      <c r="F102" s="79">
        <f t="shared" si="0"/>
        <v>6820.10999999999</v>
      </c>
    </row>
    <row r="103" customHeight="1" spans="1:14">
      <c r="A103" s="183"/>
      <c r="B103" s="213" t="s">
        <v>407</v>
      </c>
      <c r="C103" s="77" t="s">
        <v>27</v>
      </c>
      <c r="D103" s="76"/>
      <c r="E103" s="78">
        <v>42</v>
      </c>
      <c r="F103" s="79">
        <f t="shared" si="0"/>
        <v>6778.10999999999</v>
      </c>
      <c r="G103" s="77"/>
      <c r="H103" s="77"/>
      <c r="I103" s="77"/>
      <c r="J103" s="77"/>
      <c r="K103" s="77"/>
      <c r="L103" s="110"/>
      <c r="M103" s="77"/>
      <c r="N103" s="77"/>
    </row>
    <row r="104" customHeight="1" spans="1:14">
      <c r="A104" s="183"/>
      <c r="B104" s="213" t="s">
        <v>408</v>
      </c>
      <c r="C104" s="77" t="s">
        <v>224</v>
      </c>
      <c r="D104" s="76"/>
      <c r="E104" s="78">
        <v>50</v>
      </c>
      <c r="F104" s="79">
        <f t="shared" si="0"/>
        <v>6728.10999999999</v>
      </c>
      <c r="G104" s="110"/>
      <c r="H104" s="110"/>
      <c r="I104" s="110"/>
      <c r="J104" s="110"/>
      <c r="K104" s="110"/>
      <c r="L104" s="110"/>
      <c r="M104" s="110"/>
      <c r="N104" s="110"/>
    </row>
    <row r="105" customHeight="1" spans="1:14">
      <c r="A105" s="183"/>
      <c r="B105" s="213" t="s">
        <v>409</v>
      </c>
      <c r="C105" s="77" t="s">
        <v>214</v>
      </c>
      <c r="D105" s="76"/>
      <c r="E105" s="78">
        <v>680</v>
      </c>
      <c r="F105" s="79">
        <f t="shared" si="0"/>
        <v>6048.10999999999</v>
      </c>
      <c r="G105" s="110"/>
      <c r="H105" s="110"/>
      <c r="I105" s="110"/>
      <c r="J105" s="110"/>
      <c r="K105" s="110"/>
      <c r="L105" s="110"/>
      <c r="M105" s="110"/>
      <c r="N105" s="110"/>
    </row>
    <row r="106" customHeight="1" spans="1:14">
      <c r="A106" s="183"/>
      <c r="B106" s="213" t="s">
        <v>410</v>
      </c>
      <c r="C106" s="77" t="s">
        <v>27</v>
      </c>
      <c r="D106" s="76"/>
      <c r="E106" s="78">
        <v>67</v>
      </c>
      <c r="F106" s="79">
        <f t="shared" si="0"/>
        <v>5981.10999999999</v>
      </c>
      <c r="G106" s="110"/>
      <c r="H106" s="110"/>
      <c r="I106" s="110"/>
      <c r="J106" s="110"/>
      <c r="K106" s="110"/>
      <c r="L106" s="110"/>
      <c r="M106" s="110"/>
      <c r="N106" s="110"/>
    </row>
    <row r="107" customHeight="1" spans="1:12">
      <c r="A107" s="183"/>
      <c r="B107" s="213" t="s">
        <v>411</v>
      </c>
      <c r="C107" s="77" t="s">
        <v>214</v>
      </c>
      <c r="D107" s="76"/>
      <c r="E107" s="78">
        <v>5.9</v>
      </c>
      <c r="F107" s="79">
        <f t="shared" si="0"/>
        <v>5975.20999999999</v>
      </c>
      <c r="G107" s="118"/>
      <c r="I107" s="105"/>
      <c r="L107" s="77"/>
    </row>
    <row r="108" customHeight="1" spans="1:14">
      <c r="A108" s="183"/>
      <c r="B108" s="213" t="s">
        <v>412</v>
      </c>
      <c r="C108" s="77" t="s">
        <v>27</v>
      </c>
      <c r="D108" s="76"/>
      <c r="E108" s="78">
        <v>100</v>
      </c>
      <c r="F108" s="79">
        <f t="shared" si="0"/>
        <v>5875.20999999999</v>
      </c>
      <c r="G108" s="110"/>
      <c r="H108" s="105"/>
      <c r="I108" s="105"/>
      <c r="J108" s="105"/>
      <c r="K108" s="105"/>
      <c r="L108" s="105"/>
      <c r="M108" s="105"/>
      <c r="N108" s="105"/>
    </row>
    <row r="109" customHeight="1" spans="1:6">
      <c r="A109" s="183"/>
      <c r="B109" s="213" t="s">
        <v>413</v>
      </c>
      <c r="C109" s="77" t="s">
        <v>245</v>
      </c>
      <c r="D109" s="76"/>
      <c r="E109" s="78">
        <v>104.55</v>
      </c>
      <c r="F109" s="79">
        <f t="shared" si="0"/>
        <v>5770.65999999999</v>
      </c>
    </row>
    <row r="110" customHeight="1" spans="1:6">
      <c r="A110" s="183"/>
      <c r="B110" s="213" t="s">
        <v>408</v>
      </c>
      <c r="C110" s="77" t="s">
        <v>224</v>
      </c>
      <c r="D110" s="76"/>
      <c r="E110" s="78">
        <v>20</v>
      </c>
      <c r="F110" s="79">
        <f t="shared" si="0"/>
        <v>5750.65999999999</v>
      </c>
    </row>
    <row r="111" customHeight="1" spans="1:14">
      <c r="A111" s="183"/>
      <c r="B111" s="213" t="s">
        <v>414</v>
      </c>
      <c r="C111" s="77" t="s">
        <v>27</v>
      </c>
      <c r="D111" s="76"/>
      <c r="E111" s="78">
        <v>338</v>
      </c>
      <c r="F111" s="79">
        <f t="shared" si="0"/>
        <v>5412.65999999999</v>
      </c>
      <c r="G111" s="110"/>
      <c r="H111" s="110"/>
      <c r="I111" s="110"/>
      <c r="J111" s="110"/>
      <c r="K111" s="110"/>
      <c r="L111" s="110"/>
      <c r="M111" s="110"/>
      <c r="N111" s="110"/>
    </row>
    <row r="112" customHeight="1" spans="1:14">
      <c r="A112" s="183"/>
      <c r="B112" s="213"/>
      <c r="C112" s="77"/>
      <c r="D112" s="76">
        <v>500</v>
      </c>
      <c r="E112" s="78"/>
      <c r="F112" s="79">
        <f t="shared" si="0"/>
        <v>5912.65999999999</v>
      </c>
      <c r="G112" s="110"/>
      <c r="H112" s="110"/>
      <c r="I112" s="110"/>
      <c r="J112" s="110"/>
      <c r="K112" s="110"/>
      <c r="L112" s="110"/>
      <c r="M112" s="110"/>
      <c r="N112" s="110"/>
    </row>
    <row r="113" customHeight="1" spans="1:14">
      <c r="A113" s="183"/>
      <c r="B113" s="213" t="s">
        <v>415</v>
      </c>
      <c r="C113" s="77" t="s">
        <v>27</v>
      </c>
      <c r="D113" s="76"/>
      <c r="E113" s="78">
        <v>361</v>
      </c>
      <c r="F113" s="79">
        <f t="shared" si="0"/>
        <v>5551.65999999999</v>
      </c>
      <c r="G113" s="110"/>
      <c r="H113" s="110"/>
      <c r="I113" s="110"/>
      <c r="J113" s="110"/>
      <c r="K113" s="110"/>
      <c r="L113" s="110"/>
      <c r="M113" s="110"/>
      <c r="N113" s="110"/>
    </row>
    <row r="114" customHeight="1" spans="1:14">
      <c r="A114" s="183"/>
      <c r="B114" s="213" t="s">
        <v>308</v>
      </c>
      <c r="C114" s="77" t="s">
        <v>201</v>
      </c>
      <c r="D114" s="76"/>
      <c r="E114" s="78">
        <v>300</v>
      </c>
      <c r="F114" s="79">
        <f t="shared" si="0"/>
        <v>5251.65999999999</v>
      </c>
      <c r="G114" s="110"/>
      <c r="H114" s="110"/>
      <c r="I114" s="110"/>
      <c r="J114" s="110"/>
      <c r="K114" s="110"/>
      <c r="L114" s="110"/>
      <c r="M114" s="110"/>
      <c r="N114" s="110"/>
    </row>
    <row r="115" customHeight="1" spans="1:14">
      <c r="A115" s="183"/>
      <c r="B115" s="213" t="s">
        <v>307</v>
      </c>
      <c r="C115" s="77" t="s">
        <v>86</v>
      </c>
      <c r="D115" s="76"/>
      <c r="E115" s="78">
        <v>180</v>
      </c>
      <c r="F115" s="79">
        <f t="shared" si="0"/>
        <v>5071.65999999999</v>
      </c>
      <c r="G115" s="110"/>
      <c r="H115" s="110"/>
      <c r="I115" s="110"/>
      <c r="J115" s="110"/>
      <c r="K115" s="110"/>
      <c r="L115" s="110"/>
      <c r="M115" s="110"/>
      <c r="N115" s="110"/>
    </row>
    <row r="116" customHeight="1" spans="1:14">
      <c r="A116" s="183"/>
      <c r="B116" s="213" t="s">
        <v>416</v>
      </c>
      <c r="C116" s="77" t="s">
        <v>224</v>
      </c>
      <c r="D116" s="76"/>
      <c r="E116" s="78">
        <v>70</v>
      </c>
      <c r="F116" s="79">
        <f t="shared" si="0"/>
        <v>5001.65999999999</v>
      </c>
      <c r="G116" s="124">
        <f>F117-G117</f>
        <v>0</v>
      </c>
      <c r="H116" s="110"/>
      <c r="I116" s="110"/>
      <c r="J116" s="110"/>
      <c r="K116" s="110"/>
      <c r="L116" s="110"/>
      <c r="M116" s="110"/>
      <c r="N116" s="110"/>
    </row>
    <row r="117" customHeight="1" spans="1:14">
      <c r="A117" s="183"/>
      <c r="B117" s="216" t="s">
        <v>35</v>
      </c>
      <c r="C117" s="77"/>
      <c r="D117" s="76"/>
      <c r="E117" s="78">
        <v>60</v>
      </c>
      <c r="F117" s="79">
        <f t="shared" si="0"/>
        <v>4941.65999999999</v>
      </c>
      <c r="G117" s="172">
        <f>I117+J117+K117+L117+M117+N117</f>
        <v>4941.66</v>
      </c>
      <c r="H117" s="62"/>
      <c r="I117" s="62">
        <v>1590.65</v>
      </c>
      <c r="J117" s="62">
        <v>1000</v>
      </c>
      <c r="K117" s="62">
        <v>0</v>
      </c>
      <c r="L117" s="62">
        <f>24916.85-(34074-3500-1775-4391.16)</f>
        <v>509.009999999998</v>
      </c>
      <c r="M117" s="62">
        <v>1500</v>
      </c>
      <c r="N117" s="105">
        <v>342</v>
      </c>
    </row>
    <row r="118" customHeight="1" spans="1:14">
      <c r="A118" s="184"/>
      <c r="B118" s="217"/>
      <c r="C118" s="86"/>
      <c r="D118" s="83"/>
      <c r="E118" s="84"/>
      <c r="F118" s="85">
        <f t="shared" si="0"/>
        <v>4941.65999999999</v>
      </c>
      <c r="G118" s="28"/>
      <c r="H118" s="28"/>
      <c r="I118" s="28"/>
      <c r="J118" s="28"/>
      <c r="K118" s="28"/>
      <c r="L118" s="28"/>
      <c r="M118" s="28"/>
      <c r="N118" s="28"/>
    </row>
    <row r="119" customHeight="1" spans="1:6">
      <c r="A119" s="183"/>
      <c r="B119" s="213"/>
      <c r="C119" s="77"/>
      <c r="D119" s="76"/>
      <c r="E119" s="78"/>
      <c r="F119" s="79">
        <f t="shared" si="0"/>
        <v>4941.65999999999</v>
      </c>
    </row>
    <row r="120" customHeight="1" spans="1:6">
      <c r="A120" s="183"/>
      <c r="B120" s="213"/>
      <c r="C120" s="77"/>
      <c r="D120" s="76"/>
      <c r="E120" s="78"/>
      <c r="F120" s="79">
        <f t="shared" si="0"/>
        <v>4941.65999999999</v>
      </c>
    </row>
    <row r="121" customHeight="1" spans="1:6">
      <c r="A121" s="183"/>
      <c r="B121" s="213"/>
      <c r="C121" s="77"/>
      <c r="D121" s="76"/>
      <c r="E121" s="78"/>
      <c r="F121" s="79">
        <f t="shared" si="0"/>
        <v>4941.65999999999</v>
      </c>
    </row>
    <row r="122" customHeight="1" spans="1:6">
      <c r="A122" s="183"/>
      <c r="B122" s="213"/>
      <c r="C122" s="77"/>
      <c r="D122" s="76"/>
      <c r="E122" s="78"/>
      <c r="F122" s="79">
        <f t="shared" si="0"/>
        <v>4941.65999999999</v>
      </c>
    </row>
    <row r="123" customHeight="1" spans="1:14">
      <c r="A123" s="183"/>
      <c r="B123" s="213"/>
      <c r="C123" s="77"/>
      <c r="D123" s="76"/>
      <c r="E123" s="78"/>
      <c r="F123" s="79">
        <f t="shared" si="0"/>
        <v>4941.65999999999</v>
      </c>
      <c r="G123" s="110"/>
      <c r="H123" s="110"/>
      <c r="I123" s="110"/>
      <c r="J123" s="110"/>
      <c r="K123" s="110"/>
      <c r="L123" s="110"/>
      <c r="M123" s="110"/>
      <c r="N123" s="110"/>
    </row>
    <row r="124" customHeight="1" spans="1:6">
      <c r="A124" s="183"/>
      <c r="B124" s="213"/>
      <c r="C124" s="77"/>
      <c r="D124" s="76"/>
      <c r="E124" s="78"/>
      <c r="F124" s="79">
        <f t="shared" si="0"/>
        <v>4941.65999999999</v>
      </c>
    </row>
    <row r="125" customHeight="1" spans="1:6">
      <c r="A125" s="183"/>
      <c r="B125" s="213"/>
      <c r="C125" s="77"/>
      <c r="D125" s="76"/>
      <c r="E125" s="78"/>
      <c r="F125" s="79">
        <f t="shared" si="0"/>
        <v>4941.65999999999</v>
      </c>
    </row>
    <row r="126" customHeight="1" spans="1:14">
      <c r="A126" s="183"/>
      <c r="B126" s="213"/>
      <c r="C126" s="77"/>
      <c r="D126" s="76"/>
      <c r="E126" s="78"/>
      <c r="F126" s="79">
        <f t="shared" si="0"/>
        <v>4941.65999999999</v>
      </c>
      <c r="G126" s="110"/>
      <c r="H126" s="110"/>
      <c r="I126" s="110"/>
      <c r="J126" s="110"/>
      <c r="K126" s="110"/>
      <c r="L126" s="110"/>
      <c r="M126" s="110"/>
      <c r="N126" s="110"/>
    </row>
    <row r="127" customHeight="1" spans="1:14">
      <c r="A127" s="183"/>
      <c r="B127" s="213"/>
      <c r="C127" s="77"/>
      <c r="D127" s="76"/>
      <c r="E127" s="78"/>
      <c r="F127" s="77"/>
      <c r="G127" s="110"/>
      <c r="H127" s="110"/>
      <c r="I127" s="110"/>
      <c r="J127" s="110"/>
      <c r="K127" s="110"/>
      <c r="L127" s="110"/>
      <c r="M127" s="110"/>
      <c r="N127" s="110"/>
    </row>
    <row r="128" customHeight="1" spans="1:14">
      <c r="A128" s="183"/>
      <c r="B128" s="213"/>
      <c r="C128" s="77"/>
      <c r="D128" s="76"/>
      <c r="E128" s="78"/>
      <c r="F128" s="77"/>
      <c r="G128" s="77"/>
      <c r="H128" s="77"/>
      <c r="I128" s="77"/>
      <c r="J128" s="77"/>
      <c r="K128" s="77"/>
      <c r="L128" s="110"/>
      <c r="M128" s="77"/>
      <c r="N128" s="77"/>
    </row>
    <row r="129" customHeight="1" spans="1:14">
      <c r="A129" s="183"/>
      <c r="B129" s="213"/>
      <c r="C129" s="77"/>
      <c r="D129" s="76"/>
      <c r="E129" s="78"/>
      <c r="F129" s="77"/>
      <c r="G129" s="110"/>
      <c r="H129" s="110"/>
      <c r="I129" s="110"/>
      <c r="J129" s="110"/>
      <c r="K129" s="110"/>
      <c r="L129" s="110"/>
      <c r="M129" s="110"/>
      <c r="N129" s="110"/>
    </row>
    <row r="130" customHeight="1" spans="1:14">
      <c r="A130" s="183"/>
      <c r="B130" s="213"/>
      <c r="C130" s="77"/>
      <c r="D130" s="76"/>
      <c r="E130" s="78"/>
      <c r="F130" s="77"/>
      <c r="G130" s="110"/>
      <c r="H130" s="110"/>
      <c r="I130" s="110"/>
      <c r="J130" s="110"/>
      <c r="K130" s="110"/>
      <c r="L130" s="110"/>
      <c r="M130" s="110"/>
      <c r="N130" s="110"/>
    </row>
    <row r="131" customHeight="1" spans="1:14">
      <c r="A131" s="183"/>
      <c r="B131" s="213"/>
      <c r="C131" s="77"/>
      <c r="D131" s="76"/>
      <c r="E131" s="78"/>
      <c r="F131" s="77"/>
      <c r="G131" s="110"/>
      <c r="H131" s="110"/>
      <c r="I131" s="110"/>
      <c r="J131" s="110"/>
      <c r="K131" s="110"/>
      <c r="L131" s="110"/>
      <c r="M131" s="110"/>
      <c r="N131" s="110"/>
    </row>
    <row r="132" customHeight="1" spans="1:14">
      <c r="A132" s="183"/>
      <c r="B132" s="213"/>
      <c r="C132" s="77"/>
      <c r="D132" s="76"/>
      <c r="E132" s="78"/>
      <c r="F132" s="77"/>
      <c r="G132" s="110"/>
      <c r="H132" s="110"/>
      <c r="I132" s="110"/>
      <c r="J132" s="110"/>
      <c r="K132" s="110"/>
      <c r="L132" s="110"/>
      <c r="M132" s="110"/>
      <c r="N132" s="110"/>
    </row>
    <row r="133" customHeight="1" spans="1:14">
      <c r="A133" s="183"/>
      <c r="B133" s="213"/>
      <c r="C133" s="77"/>
      <c r="D133" s="76"/>
      <c r="E133" s="78"/>
      <c r="F133" s="77"/>
      <c r="G133" s="110"/>
      <c r="H133" s="110"/>
      <c r="I133" s="110"/>
      <c r="J133" s="110"/>
      <c r="K133" s="110"/>
      <c r="L133" s="110"/>
      <c r="M133" s="110"/>
      <c r="N133" s="110"/>
    </row>
    <row r="134" customHeight="1" spans="1:14">
      <c r="A134" s="183"/>
      <c r="B134" s="213"/>
      <c r="C134" s="77"/>
      <c r="D134" s="76"/>
      <c r="E134" s="78"/>
      <c r="F134" s="77"/>
      <c r="G134" s="110"/>
      <c r="H134" s="110"/>
      <c r="I134" s="110"/>
      <c r="J134" s="110"/>
      <c r="K134" s="110"/>
      <c r="L134" s="110"/>
      <c r="M134" s="110"/>
      <c r="N134" s="110"/>
    </row>
    <row r="135" customHeight="1" spans="1:14">
      <c r="A135" s="183"/>
      <c r="B135" s="213"/>
      <c r="C135" s="77"/>
      <c r="D135" s="76"/>
      <c r="E135" s="78"/>
      <c r="F135" s="77"/>
      <c r="G135" s="110"/>
      <c r="H135" s="110"/>
      <c r="I135" s="110"/>
      <c r="J135" s="110"/>
      <c r="K135" s="110"/>
      <c r="L135" s="110"/>
      <c r="M135" s="110"/>
      <c r="N135" s="110"/>
    </row>
    <row r="136" customHeight="1" spans="1:14">
      <c r="A136" s="183"/>
      <c r="B136" s="213"/>
      <c r="C136" s="77"/>
      <c r="D136" s="76"/>
      <c r="E136" s="78"/>
      <c r="F136" s="77"/>
      <c r="G136" s="110"/>
      <c r="H136" s="110"/>
      <c r="I136" s="110"/>
      <c r="J136" s="110"/>
      <c r="K136" s="110"/>
      <c r="L136" s="110"/>
      <c r="M136" s="110"/>
      <c r="N136" s="110"/>
    </row>
    <row r="137" customHeight="1" spans="1:14">
      <c r="A137" s="183"/>
      <c r="B137" s="213"/>
      <c r="C137" s="77"/>
      <c r="D137" s="76"/>
      <c r="E137" s="78"/>
      <c r="F137" s="77"/>
      <c r="G137" s="110"/>
      <c r="H137" s="110"/>
      <c r="I137" s="110"/>
      <c r="J137" s="110"/>
      <c r="K137" s="110"/>
      <c r="L137" s="110"/>
      <c r="M137" s="110"/>
      <c r="N137" s="110"/>
    </row>
    <row r="138" customHeight="1" spans="1:14">
      <c r="A138" s="183"/>
      <c r="B138" s="213"/>
      <c r="C138" s="77"/>
      <c r="D138" s="76"/>
      <c r="E138" s="78"/>
      <c r="F138" s="77"/>
      <c r="G138" s="110"/>
      <c r="H138" s="110"/>
      <c r="I138" s="110"/>
      <c r="J138" s="110"/>
      <c r="K138" s="110"/>
      <c r="L138" s="110"/>
      <c r="M138" s="110"/>
      <c r="N138" s="110"/>
    </row>
    <row r="139" customHeight="1" spans="1:14">
      <c r="A139" s="183"/>
      <c r="B139" s="213"/>
      <c r="C139" s="77"/>
      <c r="D139" s="76"/>
      <c r="E139" s="78"/>
      <c r="F139" s="77"/>
      <c r="G139" s="110"/>
      <c r="H139" s="110"/>
      <c r="I139" s="110"/>
      <c r="J139" s="110"/>
      <c r="K139" s="110"/>
      <c r="L139" s="110"/>
      <c r="M139" s="110"/>
      <c r="N139" s="110"/>
    </row>
    <row r="140" customHeight="1" spans="1:14">
      <c r="A140" s="183"/>
      <c r="B140" s="213"/>
      <c r="C140" s="77"/>
      <c r="D140" s="76"/>
      <c r="E140" s="78"/>
      <c r="F140" s="77"/>
      <c r="G140" s="110"/>
      <c r="H140" s="110"/>
      <c r="I140" s="110"/>
      <c r="J140" s="110"/>
      <c r="K140" s="110"/>
      <c r="L140" s="110"/>
      <c r="M140" s="110"/>
      <c r="N140" s="110"/>
    </row>
    <row r="141" customHeight="1" spans="1:14">
      <c r="A141" s="183"/>
      <c r="B141" s="213"/>
      <c r="C141" s="77"/>
      <c r="D141" s="76"/>
      <c r="E141" s="78"/>
      <c r="F141" s="77"/>
      <c r="G141" s="110"/>
      <c r="H141" s="110"/>
      <c r="I141" s="110"/>
      <c r="J141" s="110"/>
      <c r="K141" s="110"/>
      <c r="L141" s="110"/>
      <c r="M141" s="110"/>
      <c r="N141" s="110"/>
    </row>
    <row r="142" customHeight="1" spans="1:14">
      <c r="A142" s="183"/>
      <c r="B142" s="213"/>
      <c r="C142" s="77"/>
      <c r="D142" s="76"/>
      <c r="E142" s="78"/>
      <c r="F142" s="77"/>
      <c r="G142" s="110"/>
      <c r="H142" s="110"/>
      <c r="I142" s="110"/>
      <c r="J142" s="110"/>
      <c r="K142" s="110"/>
      <c r="L142" s="110"/>
      <c r="M142" s="110"/>
      <c r="N142" s="110"/>
    </row>
    <row r="143" customHeight="1" spans="1:14">
      <c r="A143" s="183"/>
      <c r="B143" s="213"/>
      <c r="C143" s="77"/>
      <c r="D143" s="76"/>
      <c r="E143" s="78"/>
      <c r="F143" s="77"/>
      <c r="G143" s="110"/>
      <c r="H143" s="110"/>
      <c r="I143" s="110"/>
      <c r="J143" s="110"/>
      <c r="K143" s="110"/>
      <c r="L143" s="110"/>
      <c r="M143" s="110"/>
      <c r="N143" s="110"/>
    </row>
    <row r="144" customHeight="1" spans="1:14">
      <c r="A144" s="183"/>
      <c r="B144" s="213"/>
      <c r="C144" s="77"/>
      <c r="D144" s="76"/>
      <c r="E144" s="78"/>
      <c r="F144" s="77"/>
      <c r="G144" s="110"/>
      <c r="H144" s="110"/>
      <c r="I144" s="110"/>
      <c r="J144" s="110"/>
      <c r="K144" s="110"/>
      <c r="L144" s="110"/>
      <c r="M144" s="110"/>
      <c r="N144" s="110"/>
    </row>
    <row r="145" customHeight="1" spans="1:14">
      <c r="A145" s="183"/>
      <c r="B145" s="213"/>
      <c r="C145" s="77"/>
      <c r="D145" s="76"/>
      <c r="E145" s="78"/>
      <c r="F145" s="77"/>
      <c r="G145" s="110"/>
      <c r="H145" s="110"/>
      <c r="I145" s="110"/>
      <c r="J145" s="110"/>
      <c r="K145" s="110"/>
      <c r="L145" s="110"/>
      <c r="M145" s="110"/>
      <c r="N145" s="110"/>
    </row>
    <row r="146" customHeight="1" spans="1:14">
      <c r="A146" s="183"/>
      <c r="B146" s="213"/>
      <c r="C146" s="77"/>
      <c r="D146" s="76"/>
      <c r="E146" s="78"/>
      <c r="F146" s="77"/>
      <c r="G146" s="110"/>
      <c r="H146" s="110"/>
      <c r="I146" s="110"/>
      <c r="J146" s="110"/>
      <c r="K146" s="110"/>
      <c r="L146" s="110"/>
      <c r="M146" s="110"/>
      <c r="N146" s="110"/>
    </row>
    <row r="147" customHeight="1" spans="1:14">
      <c r="A147" s="183"/>
      <c r="B147" s="213"/>
      <c r="C147" s="77"/>
      <c r="D147" s="76"/>
      <c r="E147" s="78"/>
      <c r="F147" s="77"/>
      <c r="G147" s="110"/>
      <c r="H147" s="110"/>
      <c r="I147" s="110"/>
      <c r="J147" s="110"/>
      <c r="K147" s="110"/>
      <c r="L147" s="110"/>
      <c r="M147" s="110"/>
      <c r="N147" s="110"/>
    </row>
    <row r="148" customHeight="1" spans="1:14">
      <c r="A148" s="183"/>
      <c r="B148" s="213"/>
      <c r="C148" s="77"/>
      <c r="D148" s="76"/>
      <c r="E148" s="78"/>
      <c r="F148" s="77"/>
      <c r="G148" s="110"/>
      <c r="H148" s="110"/>
      <c r="I148" s="110"/>
      <c r="J148" s="110"/>
      <c r="K148" s="110"/>
      <c r="L148" s="110"/>
      <c r="M148" s="110"/>
      <c r="N148" s="110"/>
    </row>
    <row r="149" customHeight="1" spans="1:14">
      <c r="A149" s="183"/>
      <c r="B149" s="213"/>
      <c r="C149" s="77"/>
      <c r="D149" s="76"/>
      <c r="E149" s="78"/>
      <c r="F149" s="77"/>
      <c r="G149" s="110"/>
      <c r="H149" s="110"/>
      <c r="I149" s="110"/>
      <c r="J149" s="110"/>
      <c r="K149" s="110"/>
      <c r="L149" s="110"/>
      <c r="M149" s="110"/>
      <c r="N149" s="110"/>
    </row>
    <row r="150" customHeight="1" spans="1:14">
      <c r="A150" s="183"/>
      <c r="B150" s="213"/>
      <c r="C150" s="77"/>
      <c r="D150" s="76"/>
      <c r="E150" s="78"/>
      <c r="F150" s="77"/>
      <c r="G150" s="110"/>
      <c r="H150" s="110"/>
      <c r="I150" s="110"/>
      <c r="J150" s="110"/>
      <c r="K150" s="110"/>
      <c r="L150" s="110"/>
      <c r="M150" s="110"/>
      <c r="N150" s="110"/>
    </row>
    <row r="151" customHeight="1" spans="1:14">
      <c r="A151" s="183"/>
      <c r="B151" s="213"/>
      <c r="C151" s="77"/>
      <c r="D151" s="76"/>
      <c r="E151" s="78"/>
      <c r="F151" s="77"/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83"/>
      <c r="B152" s="213"/>
      <c r="C152" s="77"/>
      <c r="D152" s="76"/>
      <c r="E152" s="78"/>
      <c r="F152" s="77"/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83"/>
      <c r="B153" s="213"/>
      <c r="C153" s="77"/>
      <c r="D153" s="76"/>
      <c r="E153" s="78"/>
      <c r="F153" s="77"/>
      <c r="G153" s="110"/>
      <c r="H153" s="110"/>
      <c r="I153" s="110"/>
      <c r="J153" s="110"/>
      <c r="K153" s="110"/>
      <c r="L153" s="110"/>
      <c r="M153" s="110"/>
      <c r="N153" s="110"/>
    </row>
    <row r="154" customHeight="1" spans="1:14">
      <c r="A154" s="183"/>
      <c r="B154" s="213"/>
      <c r="C154" s="77"/>
      <c r="D154" s="76"/>
      <c r="E154" s="78"/>
      <c r="F154" s="77"/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83"/>
      <c r="B155" s="213"/>
      <c r="C155" s="77"/>
      <c r="D155" s="76"/>
      <c r="E155" s="78"/>
      <c r="F155" s="77"/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83"/>
      <c r="B156" s="213"/>
      <c r="C156" s="77"/>
      <c r="D156" s="76"/>
      <c r="E156" s="78"/>
      <c r="F156" s="77"/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83"/>
      <c r="B157" s="213"/>
      <c r="C157" s="77"/>
      <c r="D157" s="76"/>
      <c r="E157" s="78"/>
      <c r="F157" s="77"/>
      <c r="G157" s="110"/>
      <c r="H157" s="110"/>
      <c r="I157" s="110"/>
      <c r="J157" s="110"/>
      <c r="K157" s="110"/>
      <c r="L157" s="110"/>
      <c r="M157" s="110"/>
      <c r="N157" s="110"/>
    </row>
    <row r="158" customHeight="1" spans="1:14">
      <c r="A158" s="183"/>
      <c r="B158" s="213"/>
      <c r="C158" s="77"/>
      <c r="D158" s="76"/>
      <c r="E158" s="78"/>
      <c r="F158" s="77"/>
      <c r="G158" s="110"/>
      <c r="H158" s="110"/>
      <c r="I158" s="110"/>
      <c r="J158" s="110"/>
      <c r="K158" s="110"/>
      <c r="L158" s="110"/>
      <c r="M158" s="110"/>
      <c r="N158" s="110"/>
    </row>
    <row r="159" customHeight="1" spans="1:14">
      <c r="A159" s="183"/>
      <c r="B159" s="213"/>
      <c r="C159" s="77"/>
      <c r="D159" s="76"/>
      <c r="E159" s="78"/>
      <c r="F159" s="77"/>
      <c r="G159" s="110"/>
      <c r="H159" s="110"/>
      <c r="I159" s="110"/>
      <c r="J159" s="110"/>
      <c r="K159" s="110"/>
      <c r="L159" s="110"/>
      <c r="M159" s="110"/>
      <c r="N159" s="110"/>
    </row>
    <row r="160" customHeight="1" spans="1:14">
      <c r="A160" s="183"/>
      <c r="B160" s="213"/>
      <c r="C160" s="77"/>
      <c r="D160" s="76"/>
      <c r="E160" s="78"/>
      <c r="F160" s="77"/>
      <c r="G160" s="110"/>
      <c r="H160" s="110"/>
      <c r="I160" s="110"/>
      <c r="J160" s="110"/>
      <c r="K160" s="110"/>
      <c r="L160" s="110"/>
      <c r="M160" s="110"/>
      <c r="N160" s="110"/>
    </row>
    <row r="161" customHeight="1" spans="1:14">
      <c r="A161" s="183"/>
      <c r="B161" s="213"/>
      <c r="C161" s="77"/>
      <c r="D161" s="76"/>
      <c r="E161" s="78"/>
      <c r="F161" s="77"/>
      <c r="G161" s="110"/>
      <c r="H161" s="110"/>
      <c r="I161" s="110"/>
      <c r="J161" s="110"/>
      <c r="K161" s="110"/>
      <c r="L161" s="110"/>
      <c r="M161" s="110"/>
      <c r="N161" s="110"/>
    </row>
    <row r="162" customHeight="1" spans="3:3">
      <c r="C162" s="158"/>
    </row>
    <row r="163" customHeight="1" spans="3:3">
      <c r="C163" s="158"/>
    </row>
    <row r="164" customHeight="1" spans="3:3">
      <c r="C164" s="158"/>
    </row>
    <row r="165" customHeight="1" spans="3:6">
      <c r="C165" s="158"/>
      <c r="D165" s="189" t="s">
        <v>294</v>
      </c>
      <c r="E165" s="189" t="s">
        <v>295</v>
      </c>
      <c r="F165" s="189" t="s">
        <v>15</v>
      </c>
    </row>
    <row r="166" customHeight="1" spans="3:6">
      <c r="C166" s="158"/>
      <c r="D166" s="172">
        <f t="shared" ref="D166:E166" si="1">SUM(D3:D161)</f>
        <v>61229.21</v>
      </c>
      <c r="E166" s="172">
        <f t="shared" si="1"/>
        <v>56287.55</v>
      </c>
      <c r="F166" s="172">
        <f>D166-E166</f>
        <v>4941.65999999998</v>
      </c>
    </row>
    <row r="167" customHeight="1" spans="3:5">
      <c r="C167" s="158"/>
      <c r="D167" s="189" t="s">
        <v>417</v>
      </c>
      <c r="E167" s="172">
        <f>E166-15000</f>
        <v>41287.55</v>
      </c>
    </row>
    <row r="168" customHeight="1" spans="3:5">
      <c r="C168" s="158"/>
      <c r="D168" s="189" t="s">
        <v>418</v>
      </c>
      <c r="E168" s="172">
        <f>E167-3700-1500-1495</f>
        <v>34592.55</v>
      </c>
    </row>
    <row r="169" customHeight="1" spans="3:3">
      <c r="C169" s="158"/>
    </row>
    <row r="170" customHeight="1" spans="3:3">
      <c r="C170" s="158"/>
    </row>
    <row r="173" customHeight="1" spans="4:6">
      <c r="D173" s="55" t="s">
        <v>27</v>
      </c>
      <c r="E173" s="53">
        <f ca="1">SUMIF(C$3:E$170,"Grocery",E$3:E$170)</f>
        <v>15089.23</v>
      </c>
      <c r="F173" s="56">
        <f ca="1">SUM(E173:E175)</f>
        <v>18000.13</v>
      </c>
    </row>
    <row r="174" customHeight="1" spans="4:6">
      <c r="D174" s="55" t="s">
        <v>224</v>
      </c>
      <c r="E174" s="53">
        <f ca="1">SUMIF(C$3:E$170,"Snacks",E$3:E$170)</f>
        <v>430</v>
      </c>
      <c r="F174" s="57"/>
    </row>
    <row r="175" customHeight="1" spans="4:6">
      <c r="D175" s="55" t="s">
        <v>299</v>
      </c>
      <c r="E175" s="53">
        <f ca="1">SUMIF(C$3:E$169,"Food",E$3:E$169)</f>
        <v>2480.9</v>
      </c>
      <c r="F175" s="58"/>
    </row>
    <row r="176" customHeight="1" spans="4:5">
      <c r="D176" s="55" t="s">
        <v>245</v>
      </c>
      <c r="E176" s="53">
        <f ca="1">SUMIF(C$3:E$170,"Health",E$3:E$170)</f>
        <v>1997.55</v>
      </c>
    </row>
    <row r="177" customHeight="1" spans="4:7">
      <c r="D177" s="55" t="s">
        <v>54</v>
      </c>
      <c r="E177" s="53">
        <f ca="1">SUMIF(C$3:E$170,"Dress",E$3:E$170)</f>
        <v>0</v>
      </c>
      <c r="F177" s="59"/>
      <c r="G177" s="60"/>
    </row>
    <row r="178" customHeight="1" spans="4:5">
      <c r="D178" s="55" t="s">
        <v>214</v>
      </c>
      <c r="E178" s="53">
        <f ca="1">SUMIF(C$3:E$170,"Home",E$3:E$170)</f>
        <v>22362.8</v>
      </c>
    </row>
    <row r="179" customHeight="1" spans="4:7">
      <c r="D179" s="55" t="s">
        <v>281</v>
      </c>
      <c r="E179" s="53">
        <f ca="1">SUMIF(C$3:E$170,"Tickets",E$3:E$170)</f>
        <v>0</v>
      </c>
      <c r="F179" s="61">
        <f ca="1">SUM(E179:E181)</f>
        <v>2126</v>
      </c>
      <c r="G179" s="62"/>
    </row>
    <row r="180" customHeight="1" spans="4:8">
      <c r="D180" s="55" t="s">
        <v>210</v>
      </c>
      <c r="E180" s="53">
        <f ca="1">SUMIF(C$3:E$170,"Transport",E$3:E$170)</f>
        <v>1316</v>
      </c>
      <c r="F180" s="66"/>
      <c r="H180" s="67" t="s">
        <v>300</v>
      </c>
    </row>
    <row r="181" customHeight="1" spans="4:8">
      <c r="D181" s="55" t="s">
        <v>201</v>
      </c>
      <c r="E181" s="53">
        <f ca="1">SUMIF(C$3:E$170,"Fuel",E$3:E$170)</f>
        <v>810</v>
      </c>
      <c r="F181" s="68"/>
      <c r="H181" s="53">
        <f ca="1">E166-E183</f>
        <v>5044.00000000002</v>
      </c>
    </row>
    <row r="182" customHeight="1" spans="4:5">
      <c r="D182" s="55" t="s">
        <v>219</v>
      </c>
      <c r="E182" s="53">
        <f ca="1">SUMIF(C$3:E$170,"Others",E$3:E$170)</f>
        <v>6757.07</v>
      </c>
    </row>
    <row r="183" customHeight="1" spans="4:5">
      <c r="D183" s="69" t="s">
        <v>7</v>
      </c>
      <c r="E183" s="70">
        <f ca="1">SUM(E173:E182)</f>
        <v>51243.55</v>
      </c>
    </row>
  </sheetData>
  <mergeCells count="15">
    <mergeCell ref="M1:N1"/>
    <mergeCell ref="A1:A2"/>
    <mergeCell ref="B1:B2"/>
    <mergeCell ref="C1:C2"/>
    <mergeCell ref="D1:D2"/>
    <mergeCell ref="E1:E2"/>
    <mergeCell ref="F1:F2"/>
    <mergeCell ref="F173:F175"/>
    <mergeCell ref="F179:F181"/>
    <mergeCell ref="G1:G2"/>
    <mergeCell ref="H1:H2"/>
    <mergeCell ref="I1:I2"/>
    <mergeCell ref="J1:J2"/>
    <mergeCell ref="K1:K2"/>
    <mergeCell ref="L1:L2"/>
  </mergeCells>
  <conditionalFormatting sqref="G69 G82 G92">
    <cfRule type="expression" dxfId="0" priority="1">
      <formula>"F56"</formula>
    </cfRule>
  </conditionalFormatting>
  <dataValidations count="1">
    <dataValidation type="list" allowBlank="1" showErrorMessage="1" sqref="C3:C161">
      <formula1>"Grocery,Others,Health,Home,Food,Snacks,Transport,Fuel,Tickets,Dress"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877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63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206</v>
      </c>
      <c r="J1" s="4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164"/>
      <c r="B3" s="165" t="s">
        <v>6</v>
      </c>
      <c r="C3" s="77"/>
      <c r="D3" s="76">
        <v>4941.66</v>
      </c>
      <c r="E3" s="78"/>
      <c r="F3" s="79">
        <f>D3-E3</f>
        <v>4941.66</v>
      </c>
      <c r="G3" s="12"/>
      <c r="H3" s="105"/>
      <c r="I3" s="105"/>
      <c r="J3" s="105"/>
      <c r="K3" s="105"/>
      <c r="L3" s="105"/>
      <c r="M3" s="105"/>
      <c r="N3" s="105"/>
    </row>
    <row r="4" customHeight="1" spans="1:14">
      <c r="A4" s="164" t="s">
        <v>419</v>
      </c>
      <c r="B4" s="165" t="s">
        <v>74</v>
      </c>
      <c r="C4" s="77"/>
      <c r="D4" s="76">
        <v>34074</v>
      </c>
      <c r="E4" s="78"/>
      <c r="F4" s="79">
        <f t="shared" ref="F4:F95" si="0">(D4-E4)+F3</f>
        <v>39015.66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166" t="s">
        <v>420</v>
      </c>
      <c r="B5" s="165" t="s">
        <v>230</v>
      </c>
      <c r="C5" s="77" t="s">
        <v>219</v>
      </c>
      <c r="D5" s="76"/>
      <c r="E5" s="78">
        <v>3500</v>
      </c>
      <c r="F5" s="79">
        <f t="shared" si="0"/>
        <v>35515.66</v>
      </c>
      <c r="G5" s="77"/>
      <c r="H5" s="77"/>
      <c r="I5" s="77"/>
      <c r="J5" s="77"/>
      <c r="K5" s="77"/>
      <c r="L5" s="77"/>
      <c r="M5" s="77"/>
      <c r="N5" s="77"/>
    </row>
    <row r="6" customHeight="1" spans="1:14">
      <c r="A6" s="166" t="s">
        <v>420</v>
      </c>
      <c r="B6" s="165" t="s">
        <v>421</v>
      </c>
      <c r="C6" s="77" t="s">
        <v>27</v>
      </c>
      <c r="D6" s="76"/>
      <c r="E6" s="78">
        <v>4391.16</v>
      </c>
      <c r="F6" s="79">
        <f t="shared" si="0"/>
        <v>31124.5</v>
      </c>
      <c r="G6" s="77">
        <f>F7-G7</f>
        <v>0</v>
      </c>
      <c r="H6" s="77"/>
      <c r="I6" s="77"/>
      <c r="J6" s="77"/>
      <c r="K6" s="77"/>
      <c r="L6" s="77"/>
      <c r="M6" s="77"/>
      <c r="N6" s="77"/>
    </row>
    <row r="7" customHeight="1" spans="1:14">
      <c r="A7" s="166"/>
      <c r="B7" s="165" t="s">
        <v>21</v>
      </c>
      <c r="C7" s="77" t="s">
        <v>27</v>
      </c>
      <c r="D7" s="76"/>
      <c r="E7" s="78">
        <v>1775</v>
      </c>
      <c r="F7" s="79">
        <f t="shared" si="0"/>
        <v>29349.5</v>
      </c>
      <c r="G7" s="172">
        <f>I7+J7+K7+L7+M7+N7</f>
        <v>29349.5</v>
      </c>
      <c r="H7" s="62"/>
      <c r="I7" s="62">
        <v>1590.65</v>
      </c>
      <c r="J7" s="62">
        <v>1000</v>
      </c>
      <c r="K7" s="62">
        <v>0</v>
      </c>
      <c r="L7" s="62">
        <f>24916.85</f>
        <v>24916.85</v>
      </c>
      <c r="M7" s="62">
        <v>1500</v>
      </c>
      <c r="N7" s="105">
        <v>342</v>
      </c>
    </row>
    <row r="8" customHeight="1" spans="1:14">
      <c r="A8" s="169" t="s">
        <v>422</v>
      </c>
      <c r="B8" s="170"/>
      <c r="C8" s="77" t="s">
        <v>219</v>
      </c>
      <c r="D8" s="83"/>
      <c r="E8" s="84">
        <v>300</v>
      </c>
      <c r="F8" s="85">
        <f t="shared" si="0"/>
        <v>29049.5</v>
      </c>
      <c r="G8" s="86"/>
      <c r="H8" s="86"/>
      <c r="I8" s="86"/>
      <c r="J8" s="86"/>
      <c r="K8" s="86"/>
      <c r="L8" s="86"/>
      <c r="M8" s="86"/>
      <c r="N8" s="86"/>
    </row>
    <row r="9" customHeight="1" spans="1:14">
      <c r="A9" s="166"/>
      <c r="B9" s="165" t="s">
        <v>407</v>
      </c>
      <c r="C9" s="77" t="s">
        <v>27</v>
      </c>
      <c r="D9" s="76"/>
      <c r="E9" s="78">
        <v>98</v>
      </c>
      <c r="F9" s="79">
        <f t="shared" si="0"/>
        <v>28951.5</v>
      </c>
      <c r="G9" s="77"/>
      <c r="H9" s="77"/>
      <c r="I9" s="77"/>
      <c r="J9" s="77"/>
      <c r="K9" s="77"/>
      <c r="L9" s="77"/>
      <c r="M9" s="77"/>
      <c r="N9" s="77"/>
    </row>
    <row r="10" customHeight="1" spans="1:14">
      <c r="A10" s="166"/>
      <c r="B10" s="165" t="s">
        <v>423</v>
      </c>
      <c r="C10" s="77" t="s">
        <v>214</v>
      </c>
      <c r="D10" s="76"/>
      <c r="E10" s="78">
        <v>100</v>
      </c>
      <c r="F10" s="79">
        <f t="shared" si="0"/>
        <v>28851.5</v>
      </c>
      <c r="G10" s="172"/>
      <c r="H10" s="105"/>
      <c r="I10" s="105"/>
      <c r="J10" s="105"/>
      <c r="K10" s="105"/>
      <c r="L10" s="105"/>
      <c r="M10" s="105"/>
      <c r="N10" s="105"/>
    </row>
    <row r="11" customHeight="1" spans="1:14">
      <c r="A11" s="166"/>
      <c r="B11" s="165" t="s">
        <v>424</v>
      </c>
      <c r="C11" s="77" t="s">
        <v>27</v>
      </c>
      <c r="D11" s="76"/>
      <c r="E11" s="78">
        <v>128</v>
      </c>
      <c r="F11" s="79">
        <f t="shared" si="0"/>
        <v>28723.5</v>
      </c>
      <c r="G11" s="172"/>
      <c r="H11" s="105"/>
      <c r="I11" s="105"/>
      <c r="J11" s="105"/>
      <c r="K11" s="105"/>
      <c r="L11" s="105"/>
      <c r="M11" s="105"/>
      <c r="N11" s="105"/>
    </row>
    <row r="12" customHeight="1" spans="1:14">
      <c r="A12" s="166" t="s">
        <v>425</v>
      </c>
      <c r="B12" s="165" t="s">
        <v>426</v>
      </c>
      <c r="C12" s="77" t="s">
        <v>27</v>
      </c>
      <c r="D12" s="76"/>
      <c r="E12" s="78">
        <v>100</v>
      </c>
      <c r="F12" s="79">
        <f t="shared" si="0"/>
        <v>28623.5</v>
      </c>
      <c r="G12" s="77">
        <f>F20-G13</f>
        <v>-1692.25</v>
      </c>
      <c r="H12" s="77"/>
      <c r="I12" s="77"/>
      <c r="J12" s="77"/>
      <c r="K12" s="77"/>
      <c r="L12" s="77"/>
      <c r="M12" s="77"/>
      <c r="N12" s="77"/>
    </row>
    <row r="13" customHeight="1" spans="1:14">
      <c r="A13" s="166" t="s">
        <v>427</v>
      </c>
      <c r="B13" s="165" t="s">
        <v>24</v>
      </c>
      <c r="C13" s="77" t="s">
        <v>214</v>
      </c>
      <c r="D13" s="76"/>
      <c r="E13" s="78">
        <v>15000</v>
      </c>
      <c r="F13" s="79">
        <f t="shared" si="0"/>
        <v>13623.5</v>
      </c>
      <c r="G13" s="172">
        <f>I13+J13+K13+L13+M13+N13</f>
        <v>13623.5</v>
      </c>
      <c r="H13" s="62"/>
      <c r="I13" s="62">
        <v>1590.65</v>
      </c>
      <c r="J13" s="62">
        <v>1000</v>
      </c>
      <c r="K13" s="62">
        <v>0</v>
      </c>
      <c r="L13" s="62">
        <f>9070.85+420</f>
        <v>9490.85</v>
      </c>
      <c r="M13" s="62">
        <v>1500</v>
      </c>
      <c r="N13" s="105">
        <v>42</v>
      </c>
    </row>
    <row r="14" customHeight="1" spans="1:14">
      <c r="A14" s="169" t="s">
        <v>428</v>
      </c>
      <c r="B14" s="170" t="s">
        <v>143</v>
      </c>
      <c r="C14" s="86" t="s">
        <v>224</v>
      </c>
      <c r="D14" s="83"/>
      <c r="E14" s="84">
        <v>55</v>
      </c>
      <c r="F14" s="85">
        <f t="shared" si="0"/>
        <v>13568.5</v>
      </c>
      <c r="G14" s="86">
        <f>F26-G15</f>
        <v>-1114.33</v>
      </c>
      <c r="H14" s="86"/>
      <c r="I14" s="86"/>
      <c r="J14" s="86"/>
      <c r="K14" s="86"/>
      <c r="L14" s="86"/>
      <c r="M14" s="86"/>
      <c r="N14" s="86"/>
    </row>
    <row r="15" customHeight="1" spans="1:14">
      <c r="A15" s="166"/>
      <c r="B15" s="165" t="s">
        <v>429</v>
      </c>
      <c r="C15" s="77" t="s">
        <v>27</v>
      </c>
      <c r="D15" s="76"/>
      <c r="E15" s="78">
        <v>1076.25</v>
      </c>
      <c r="F15" s="79">
        <f t="shared" si="0"/>
        <v>12492.25</v>
      </c>
      <c r="G15" s="172">
        <f>I15+J15+K15+L15+M15+N15</f>
        <v>12491.25</v>
      </c>
      <c r="H15" s="62"/>
      <c r="I15" s="62">
        <v>1590.65</v>
      </c>
      <c r="J15" s="62">
        <v>1000</v>
      </c>
      <c r="K15" s="62">
        <v>0</v>
      </c>
      <c r="L15" s="62">
        <v>8358.6</v>
      </c>
      <c r="M15" s="62">
        <v>1500</v>
      </c>
      <c r="N15" s="105">
        <v>42</v>
      </c>
    </row>
    <row r="16" customHeight="1" spans="1:14">
      <c r="A16" s="198" t="s">
        <v>430</v>
      </c>
      <c r="B16" s="199" t="s">
        <v>431</v>
      </c>
      <c r="C16" s="38" t="s">
        <v>27</v>
      </c>
      <c r="D16" s="25"/>
      <c r="E16" s="26">
        <v>36</v>
      </c>
      <c r="F16" s="85">
        <f t="shared" si="0"/>
        <v>12456.25</v>
      </c>
      <c r="G16" s="28"/>
      <c r="H16" s="28"/>
      <c r="I16" s="28"/>
      <c r="J16" s="28"/>
      <c r="K16" s="28"/>
      <c r="L16" s="28"/>
      <c r="M16" s="28"/>
      <c r="N16" s="28"/>
    </row>
    <row r="17" customHeight="1" spans="1:6">
      <c r="A17" s="190"/>
      <c r="B17" s="191" t="s">
        <v>385</v>
      </c>
      <c r="C17" s="20" t="s">
        <v>27</v>
      </c>
      <c r="D17" s="9"/>
      <c r="E17" s="10">
        <v>100</v>
      </c>
      <c r="F17" s="79">
        <f t="shared" si="0"/>
        <v>12356.25</v>
      </c>
    </row>
    <row r="18" customHeight="1" spans="1:6">
      <c r="A18" s="190"/>
      <c r="B18" s="191" t="s">
        <v>432</v>
      </c>
      <c r="C18" s="20" t="s">
        <v>245</v>
      </c>
      <c r="D18" s="9"/>
      <c r="E18" s="10">
        <v>203</v>
      </c>
      <c r="F18" s="79">
        <f t="shared" si="0"/>
        <v>12153.25</v>
      </c>
    </row>
    <row r="19" customHeight="1" spans="1:6">
      <c r="A19" s="166" t="s">
        <v>433</v>
      </c>
      <c r="B19" s="167" t="s">
        <v>434</v>
      </c>
      <c r="C19" s="168" t="s">
        <v>86</v>
      </c>
      <c r="D19" s="18"/>
      <c r="E19" s="19">
        <v>230</v>
      </c>
      <c r="F19" s="79">
        <f t="shared" si="0"/>
        <v>11923.25</v>
      </c>
    </row>
    <row r="20" customHeight="1" spans="1:6">
      <c r="A20" s="166"/>
      <c r="B20" s="167" t="s">
        <v>435</v>
      </c>
      <c r="C20" s="168"/>
      <c r="D20" s="18">
        <v>8</v>
      </c>
      <c r="E20" s="19"/>
      <c r="F20" s="79">
        <f t="shared" si="0"/>
        <v>11931.25</v>
      </c>
    </row>
    <row r="21" customHeight="1" spans="1:14">
      <c r="A21" s="190" t="s">
        <v>436</v>
      </c>
      <c r="B21" s="191" t="s">
        <v>437</v>
      </c>
      <c r="C21" s="20"/>
      <c r="D21" s="9">
        <v>1000</v>
      </c>
      <c r="E21" s="10">
        <v>0</v>
      </c>
      <c r="F21" s="79">
        <f t="shared" si="0"/>
        <v>12931.25</v>
      </c>
      <c r="G21" s="77"/>
      <c r="H21" s="77"/>
      <c r="I21" s="77"/>
      <c r="J21" s="77"/>
      <c r="K21" s="77"/>
      <c r="L21" s="77"/>
      <c r="M21" s="77"/>
      <c r="N21" s="77"/>
    </row>
    <row r="22" customHeight="1" spans="1:14">
      <c r="A22" s="200"/>
      <c r="B22" s="191" t="s">
        <v>438</v>
      </c>
      <c r="C22" s="20" t="s">
        <v>27</v>
      </c>
      <c r="D22" s="9"/>
      <c r="E22" s="10">
        <v>88</v>
      </c>
      <c r="F22" s="79">
        <f t="shared" si="0"/>
        <v>12843.25</v>
      </c>
      <c r="G22" s="172"/>
      <c r="H22" s="105"/>
      <c r="I22" s="105"/>
      <c r="J22" s="105"/>
      <c r="K22" s="105"/>
      <c r="L22" s="105"/>
      <c r="M22" s="105"/>
      <c r="N22" s="105"/>
    </row>
    <row r="23" customHeight="1" spans="1:12">
      <c r="A23" s="190"/>
      <c r="B23" s="191" t="s">
        <v>439</v>
      </c>
      <c r="C23" s="20" t="s">
        <v>86</v>
      </c>
      <c r="D23" s="9"/>
      <c r="E23" s="10">
        <v>240</v>
      </c>
      <c r="F23" s="79">
        <f t="shared" si="0"/>
        <v>12603.25</v>
      </c>
      <c r="G23" s="77"/>
      <c r="I23" s="105"/>
      <c r="L23" s="77"/>
    </row>
    <row r="24" customHeight="1" spans="1:14">
      <c r="A24" s="166"/>
      <c r="B24" s="191" t="s">
        <v>440</v>
      </c>
      <c r="C24" s="20" t="s">
        <v>86</v>
      </c>
      <c r="D24" s="9"/>
      <c r="E24" s="10">
        <v>421</v>
      </c>
      <c r="F24" s="79">
        <f t="shared" si="0"/>
        <v>12182.25</v>
      </c>
      <c r="G24" s="110"/>
      <c r="H24" s="105"/>
      <c r="I24" s="105"/>
      <c r="J24" s="105"/>
      <c r="K24" s="105"/>
      <c r="L24" s="105"/>
      <c r="M24" s="105"/>
      <c r="N24" s="105"/>
    </row>
    <row r="25" customHeight="1" spans="1:14">
      <c r="A25" s="166" t="s">
        <v>441</v>
      </c>
      <c r="B25" s="165" t="s">
        <v>442</v>
      </c>
      <c r="C25" s="77" t="s">
        <v>27</v>
      </c>
      <c r="D25" s="76"/>
      <c r="E25" s="78">
        <v>222</v>
      </c>
      <c r="F25" s="79">
        <f t="shared" si="0"/>
        <v>11960.25</v>
      </c>
      <c r="G25" s="110"/>
      <c r="H25" s="110"/>
      <c r="I25" s="110"/>
      <c r="J25" s="110"/>
      <c r="K25" s="110"/>
      <c r="L25" s="110"/>
      <c r="M25" s="110"/>
      <c r="N25" s="110"/>
    </row>
    <row r="26" customHeight="1" spans="1:6">
      <c r="A26" s="166"/>
      <c r="B26" s="165" t="s">
        <v>443</v>
      </c>
      <c r="C26" s="77" t="s">
        <v>219</v>
      </c>
      <c r="D26" s="76"/>
      <c r="E26" s="78">
        <v>583.33</v>
      </c>
      <c r="F26" s="79">
        <f t="shared" si="0"/>
        <v>11376.92</v>
      </c>
    </row>
    <row r="27" customHeight="1" spans="1:6">
      <c r="A27" s="166"/>
      <c r="B27" s="165" t="s">
        <v>444</v>
      </c>
      <c r="C27" s="77" t="s">
        <v>214</v>
      </c>
      <c r="D27" s="76"/>
      <c r="E27" s="78">
        <v>100</v>
      </c>
      <c r="F27" s="79">
        <f t="shared" si="0"/>
        <v>11276.92</v>
      </c>
    </row>
    <row r="28" customHeight="1" spans="1:6">
      <c r="A28" s="166"/>
      <c r="B28" s="165" t="s">
        <v>445</v>
      </c>
      <c r="C28" s="77" t="s">
        <v>27</v>
      </c>
      <c r="D28" s="76"/>
      <c r="E28" s="78">
        <v>198</v>
      </c>
      <c r="F28" s="79">
        <f t="shared" si="0"/>
        <v>11078.92</v>
      </c>
    </row>
    <row r="29" customHeight="1" spans="1:6">
      <c r="A29" s="166"/>
      <c r="B29" s="165" t="s">
        <v>446</v>
      </c>
      <c r="C29" s="77" t="s">
        <v>201</v>
      </c>
      <c r="D29" s="76"/>
      <c r="E29" s="78">
        <v>200</v>
      </c>
      <c r="F29" s="79">
        <f t="shared" si="0"/>
        <v>10878.92</v>
      </c>
    </row>
    <row r="30" customHeight="1" spans="1:14">
      <c r="A30" s="166"/>
      <c r="B30" s="165" t="s">
        <v>407</v>
      </c>
      <c r="C30" s="77" t="s">
        <v>27</v>
      </c>
      <c r="D30" s="76"/>
      <c r="E30" s="78">
        <v>60</v>
      </c>
      <c r="F30" s="79">
        <f t="shared" si="0"/>
        <v>10818.92</v>
      </c>
      <c r="G30" s="77">
        <f>F31-G31</f>
        <v>0</v>
      </c>
      <c r="H30" s="77"/>
      <c r="I30" s="77"/>
      <c r="J30" s="77"/>
      <c r="K30" s="77"/>
      <c r="L30" s="77"/>
      <c r="M30" s="77"/>
      <c r="N30" s="77"/>
    </row>
    <row r="31" customHeight="1" spans="1:14">
      <c r="A31" s="166"/>
      <c r="B31" s="165" t="s">
        <v>447</v>
      </c>
      <c r="C31" s="77" t="s">
        <v>27</v>
      </c>
      <c r="D31" s="76"/>
      <c r="E31" s="78">
        <v>224</v>
      </c>
      <c r="F31" s="79">
        <f t="shared" si="0"/>
        <v>10594.92</v>
      </c>
      <c r="G31" s="172">
        <f>I31+J31+K31+L31+M31+N31</f>
        <v>10594.92</v>
      </c>
      <c r="H31" s="62"/>
      <c r="I31" s="62">
        <v>1368.65</v>
      </c>
      <c r="J31" s="62">
        <v>1000</v>
      </c>
      <c r="K31" s="62">
        <v>0</v>
      </c>
      <c r="L31" s="62">
        <f>6568.27-224</f>
        <v>6344.27</v>
      </c>
      <c r="M31" s="62">
        <v>1500</v>
      </c>
      <c r="N31" s="105">
        <f>340+42</f>
        <v>382</v>
      </c>
    </row>
    <row r="32" customHeight="1" spans="1:14">
      <c r="A32" s="169" t="s">
        <v>448</v>
      </c>
      <c r="B32" s="170" t="s">
        <v>449</v>
      </c>
      <c r="C32" s="86" t="s">
        <v>27</v>
      </c>
      <c r="D32" s="83"/>
      <c r="E32" s="84">
        <v>744.5</v>
      </c>
      <c r="F32" s="85">
        <f t="shared" si="0"/>
        <v>9850.42</v>
      </c>
      <c r="G32" s="86"/>
      <c r="H32" s="86"/>
      <c r="I32" s="86"/>
      <c r="J32" s="86"/>
      <c r="K32" s="86"/>
      <c r="L32" s="86"/>
      <c r="M32" s="86"/>
      <c r="N32" s="86"/>
    </row>
    <row r="33" customHeight="1" spans="1:14">
      <c r="A33" s="166" t="s">
        <v>450</v>
      </c>
      <c r="B33" s="165" t="s">
        <v>303</v>
      </c>
      <c r="C33" s="77" t="s">
        <v>219</v>
      </c>
      <c r="D33" s="76"/>
      <c r="E33" s="78">
        <v>262</v>
      </c>
      <c r="F33" s="79">
        <f t="shared" si="0"/>
        <v>9588.42</v>
      </c>
      <c r="G33" s="201">
        <f>F$34-G$34</f>
        <v>0</v>
      </c>
      <c r="H33" s="202"/>
      <c r="I33" s="202"/>
      <c r="J33" s="202"/>
      <c r="K33" s="202"/>
      <c r="L33" s="202"/>
      <c r="M33" s="202"/>
      <c r="N33" s="202"/>
    </row>
    <row r="34" customHeight="1" spans="1:14">
      <c r="A34" s="179"/>
      <c r="B34" s="165" t="s">
        <v>451</v>
      </c>
      <c r="C34" s="77" t="s">
        <v>27</v>
      </c>
      <c r="D34" s="76"/>
      <c r="E34" s="78">
        <v>265</v>
      </c>
      <c r="F34" s="79">
        <f t="shared" si="0"/>
        <v>9323.42</v>
      </c>
      <c r="G34" s="122">
        <f>I34+J34+K34+L34+M34+N34</f>
        <v>9323.42</v>
      </c>
      <c r="H34" s="123"/>
      <c r="I34" s="122">
        <v>1368.65</v>
      </c>
      <c r="J34" s="122">
        <v>1000</v>
      </c>
      <c r="K34" s="122">
        <v>0</v>
      </c>
      <c r="L34" s="122">
        <v>5072.77</v>
      </c>
      <c r="M34" s="122">
        <v>1500</v>
      </c>
      <c r="N34" s="122">
        <f>340+42</f>
        <v>382</v>
      </c>
    </row>
    <row r="35" customHeight="1" spans="1:14">
      <c r="A35" s="169"/>
      <c r="B35" s="170" t="s">
        <v>452</v>
      </c>
      <c r="C35" s="86" t="s">
        <v>224</v>
      </c>
      <c r="D35" s="83"/>
      <c r="E35" s="84">
        <v>45</v>
      </c>
      <c r="F35" s="85">
        <f t="shared" si="0"/>
        <v>9278.42</v>
      </c>
      <c r="G35" s="28"/>
      <c r="H35" s="28"/>
      <c r="I35" s="28"/>
      <c r="J35" s="28"/>
      <c r="K35" s="28"/>
      <c r="L35" s="28"/>
      <c r="M35" s="28"/>
      <c r="N35" s="28"/>
    </row>
    <row r="36" customHeight="1" spans="1:6">
      <c r="A36" s="166"/>
      <c r="B36" s="165" t="s">
        <v>453</v>
      </c>
      <c r="C36" s="77" t="s">
        <v>224</v>
      </c>
      <c r="D36" s="76"/>
      <c r="E36" s="78">
        <v>60</v>
      </c>
      <c r="F36" s="79">
        <f t="shared" si="0"/>
        <v>9218.42</v>
      </c>
    </row>
    <row r="37" customHeight="1" spans="1:14">
      <c r="A37" s="166"/>
      <c r="B37" s="165" t="s">
        <v>452</v>
      </c>
      <c r="C37" s="77" t="s">
        <v>224</v>
      </c>
      <c r="D37" s="76"/>
      <c r="E37" s="78">
        <v>45</v>
      </c>
      <c r="F37" s="79">
        <f t="shared" si="0"/>
        <v>9173.42</v>
      </c>
      <c r="G37" s="110"/>
      <c r="H37" s="105"/>
      <c r="I37" s="105"/>
      <c r="J37" s="105"/>
      <c r="K37" s="105"/>
      <c r="L37" s="105"/>
      <c r="M37" s="105"/>
      <c r="N37" s="105"/>
    </row>
    <row r="38" customHeight="1" spans="1:6">
      <c r="A38" s="166"/>
      <c r="B38" s="165" t="s">
        <v>39</v>
      </c>
      <c r="C38" s="77" t="s">
        <v>27</v>
      </c>
      <c r="D38" s="76"/>
      <c r="E38" s="78">
        <v>391.5</v>
      </c>
      <c r="F38" s="79">
        <f t="shared" si="0"/>
        <v>8781.92</v>
      </c>
    </row>
    <row r="39" customHeight="1" spans="1:6">
      <c r="A39" s="166"/>
      <c r="B39" s="165" t="s">
        <v>375</v>
      </c>
      <c r="C39" s="77" t="s">
        <v>86</v>
      </c>
      <c r="D39" s="76"/>
      <c r="E39" s="78">
        <v>55</v>
      </c>
      <c r="F39" s="79">
        <f t="shared" si="0"/>
        <v>8726.92</v>
      </c>
    </row>
    <row r="40" customHeight="1" spans="1:14">
      <c r="A40" s="166"/>
      <c r="B40" s="165" t="s">
        <v>454</v>
      </c>
      <c r="C40" s="77" t="s">
        <v>245</v>
      </c>
      <c r="D40" s="76"/>
      <c r="E40" s="78">
        <v>104.55</v>
      </c>
      <c r="F40" s="79">
        <f t="shared" si="0"/>
        <v>8622.37</v>
      </c>
      <c r="G40" s="12"/>
      <c r="H40" s="105"/>
      <c r="I40" s="105"/>
      <c r="J40" s="105"/>
      <c r="K40" s="105"/>
      <c r="L40" s="105"/>
      <c r="M40" s="105"/>
      <c r="N40" s="105"/>
    </row>
    <row r="41" customHeight="1" spans="1:14">
      <c r="A41" s="166"/>
      <c r="B41" s="165" t="s">
        <v>129</v>
      </c>
      <c r="C41" s="77" t="s">
        <v>210</v>
      </c>
      <c r="D41" s="76"/>
      <c r="E41" s="78">
        <v>380</v>
      </c>
      <c r="F41" s="79">
        <f t="shared" si="0"/>
        <v>8242.37</v>
      </c>
      <c r="G41" s="110"/>
      <c r="H41" s="110"/>
      <c r="I41" s="59"/>
      <c r="J41" s="110"/>
      <c r="K41" s="110"/>
      <c r="L41" s="110"/>
      <c r="M41" s="110"/>
      <c r="N41" s="110"/>
    </row>
    <row r="42" customHeight="1" spans="1:6">
      <c r="A42" s="166"/>
      <c r="B42" s="165" t="s">
        <v>88</v>
      </c>
      <c r="C42" s="77" t="s">
        <v>214</v>
      </c>
      <c r="D42" s="76"/>
      <c r="E42" s="78">
        <v>195</v>
      </c>
      <c r="F42" s="79">
        <f t="shared" si="0"/>
        <v>8047.37</v>
      </c>
    </row>
    <row r="43" customHeight="1" spans="1:6">
      <c r="A43" s="166"/>
      <c r="B43" s="165" t="s">
        <v>455</v>
      </c>
      <c r="C43" s="77" t="s">
        <v>224</v>
      </c>
      <c r="D43" s="76"/>
      <c r="E43" s="78">
        <v>30</v>
      </c>
      <c r="F43" s="79">
        <f t="shared" si="0"/>
        <v>8017.37</v>
      </c>
    </row>
    <row r="44" customHeight="1" spans="1:14">
      <c r="A44" s="166"/>
      <c r="B44" s="165" t="s">
        <v>453</v>
      </c>
      <c r="C44" s="77" t="s">
        <v>224</v>
      </c>
      <c r="D44" s="76"/>
      <c r="E44" s="78">
        <v>35</v>
      </c>
      <c r="F44" s="79">
        <f t="shared" si="0"/>
        <v>7982.37</v>
      </c>
      <c r="G44" s="12"/>
      <c r="H44" s="105"/>
      <c r="I44" s="105"/>
      <c r="J44" s="105"/>
      <c r="K44" s="105"/>
      <c r="L44" s="105"/>
      <c r="M44" s="105"/>
      <c r="N44" s="105"/>
    </row>
    <row r="45" customHeight="1" spans="1:14">
      <c r="A45" s="166"/>
      <c r="B45" s="165" t="s">
        <v>456</v>
      </c>
      <c r="C45" s="77" t="s">
        <v>245</v>
      </c>
      <c r="D45" s="76"/>
      <c r="E45" s="78">
        <v>685</v>
      </c>
      <c r="F45" s="79">
        <f t="shared" si="0"/>
        <v>7297.37</v>
      </c>
      <c r="G45" s="21"/>
      <c r="H45" s="110"/>
      <c r="I45" s="110"/>
      <c r="J45" s="110"/>
      <c r="K45" s="110"/>
      <c r="L45" s="110"/>
      <c r="M45" s="110"/>
      <c r="N45" s="110"/>
    </row>
    <row r="46" customHeight="1" spans="1:6">
      <c r="A46" s="166"/>
      <c r="B46" s="165" t="s">
        <v>39</v>
      </c>
      <c r="C46" s="77" t="s">
        <v>27</v>
      </c>
      <c r="D46" s="76"/>
      <c r="E46" s="78">
        <v>178</v>
      </c>
      <c r="F46" s="79">
        <f t="shared" si="0"/>
        <v>7119.37</v>
      </c>
    </row>
    <row r="47" customHeight="1" spans="1:6">
      <c r="A47" s="166"/>
      <c r="B47" s="165" t="s">
        <v>457</v>
      </c>
      <c r="C47" s="77" t="s">
        <v>214</v>
      </c>
      <c r="D47" s="76"/>
      <c r="E47" s="78">
        <v>79</v>
      </c>
      <c r="F47" s="79">
        <f t="shared" si="0"/>
        <v>7040.37</v>
      </c>
    </row>
    <row r="48" customHeight="1" spans="1:14">
      <c r="A48" s="166"/>
      <c r="B48" s="165" t="s">
        <v>33</v>
      </c>
      <c r="C48" s="77" t="s">
        <v>201</v>
      </c>
      <c r="D48" s="76"/>
      <c r="E48" s="78">
        <v>100</v>
      </c>
      <c r="F48" s="79">
        <f t="shared" si="0"/>
        <v>6940.37</v>
      </c>
      <c r="G48" s="12"/>
      <c r="H48" s="105"/>
      <c r="I48" s="105"/>
      <c r="J48" s="105"/>
      <c r="K48" s="105"/>
      <c r="L48" s="105"/>
      <c r="M48" s="105"/>
      <c r="N48" s="105"/>
    </row>
    <row r="49" customHeight="1" spans="1:6">
      <c r="A49" s="166"/>
      <c r="B49" s="165" t="s">
        <v>458</v>
      </c>
      <c r="C49" s="77" t="s">
        <v>219</v>
      </c>
      <c r="D49" s="76"/>
      <c r="E49" s="78">
        <v>320</v>
      </c>
      <c r="F49" s="79">
        <f t="shared" si="0"/>
        <v>6620.37</v>
      </c>
    </row>
    <row r="50" customHeight="1" spans="1:6">
      <c r="A50" s="166"/>
      <c r="B50" s="165" t="s">
        <v>459</v>
      </c>
      <c r="C50" s="77"/>
      <c r="D50" s="76">
        <v>1000</v>
      </c>
      <c r="E50" s="78"/>
      <c r="F50" s="79">
        <f t="shared" si="0"/>
        <v>7620.37</v>
      </c>
    </row>
    <row r="51" customHeight="1" spans="1:14">
      <c r="A51" s="166"/>
      <c r="B51" s="165" t="s">
        <v>317</v>
      </c>
      <c r="C51" s="77"/>
      <c r="D51" s="76">
        <v>500</v>
      </c>
      <c r="E51" s="78"/>
      <c r="F51" s="79">
        <f t="shared" si="0"/>
        <v>8120.37</v>
      </c>
      <c r="G51" s="12"/>
      <c r="H51" s="105"/>
      <c r="I51" s="105"/>
      <c r="J51" s="105"/>
      <c r="K51" s="105"/>
      <c r="L51" s="105"/>
      <c r="M51" s="105"/>
      <c r="N51" s="105"/>
    </row>
    <row r="52" customHeight="1" spans="1:14">
      <c r="A52" s="166"/>
      <c r="B52" s="165" t="s">
        <v>17</v>
      </c>
      <c r="C52" s="77" t="s">
        <v>86</v>
      </c>
      <c r="D52" s="76"/>
      <c r="E52" s="78">
        <v>327</v>
      </c>
      <c r="F52" s="79">
        <f t="shared" si="0"/>
        <v>7793.37</v>
      </c>
      <c r="G52" s="12"/>
      <c r="H52" s="105"/>
      <c r="I52" s="105"/>
      <c r="J52" s="105"/>
      <c r="K52" s="105"/>
      <c r="L52" s="105"/>
      <c r="M52" s="105"/>
      <c r="N52" s="105"/>
    </row>
    <row r="53" customHeight="1" spans="1:14">
      <c r="A53" s="166"/>
      <c r="B53" s="167" t="s">
        <v>460</v>
      </c>
      <c r="C53" s="168" t="s">
        <v>86</v>
      </c>
      <c r="D53" s="18"/>
      <c r="E53" s="19">
        <v>360</v>
      </c>
      <c r="F53" s="79">
        <f t="shared" si="0"/>
        <v>7433.37</v>
      </c>
      <c r="G53" s="12"/>
      <c r="H53" s="105"/>
      <c r="I53" s="105"/>
      <c r="J53" s="105"/>
      <c r="K53" s="105"/>
      <c r="L53" s="105"/>
      <c r="M53" s="105"/>
      <c r="N53" s="105"/>
    </row>
    <row r="54" customHeight="1" spans="1:6">
      <c r="A54" s="166"/>
      <c r="B54" s="167" t="s">
        <v>461</v>
      </c>
      <c r="C54" s="168" t="s">
        <v>214</v>
      </c>
      <c r="D54" s="18"/>
      <c r="E54" s="19">
        <v>75</v>
      </c>
      <c r="F54" s="79">
        <f t="shared" si="0"/>
        <v>7358.37</v>
      </c>
    </row>
    <row r="55" customHeight="1" spans="1:14">
      <c r="A55" s="166"/>
      <c r="B55" s="167" t="s">
        <v>39</v>
      </c>
      <c r="C55" s="168" t="s">
        <v>27</v>
      </c>
      <c r="D55" s="18"/>
      <c r="E55" s="19">
        <v>205</v>
      </c>
      <c r="F55" s="79">
        <f t="shared" si="0"/>
        <v>7153.37</v>
      </c>
      <c r="G55" s="110"/>
      <c r="H55" s="110"/>
      <c r="I55" s="59"/>
      <c r="J55" s="110"/>
      <c r="K55" s="110"/>
      <c r="L55" s="110"/>
      <c r="M55" s="110"/>
      <c r="N55" s="110"/>
    </row>
    <row r="56" customHeight="1" spans="1:14">
      <c r="A56" s="166"/>
      <c r="B56" s="167" t="s">
        <v>462</v>
      </c>
      <c r="C56" s="168" t="s">
        <v>86</v>
      </c>
      <c r="D56" s="18"/>
      <c r="E56" s="19">
        <v>164</v>
      </c>
      <c r="F56" s="79">
        <f t="shared" si="0"/>
        <v>6989.37</v>
      </c>
      <c r="H56" s="62"/>
      <c r="I56" s="62"/>
      <c r="J56" s="62"/>
      <c r="K56" s="62"/>
      <c r="L56" s="62"/>
      <c r="M56" s="62"/>
      <c r="N56" s="105"/>
    </row>
    <row r="57" customHeight="1" spans="1:14">
      <c r="A57" s="166"/>
      <c r="B57" s="165" t="s">
        <v>45</v>
      </c>
      <c r="C57" s="77" t="s">
        <v>27</v>
      </c>
      <c r="D57" s="76"/>
      <c r="E57" s="78">
        <v>60</v>
      </c>
      <c r="F57" s="79">
        <f t="shared" si="0"/>
        <v>6929.37</v>
      </c>
      <c r="G57" s="21"/>
      <c r="H57" s="110"/>
      <c r="I57" s="110"/>
      <c r="J57" s="59"/>
      <c r="K57" s="110"/>
      <c r="L57" s="110"/>
      <c r="M57" s="110"/>
      <c r="N57" s="110"/>
    </row>
    <row r="58" customHeight="1" spans="1:14">
      <c r="A58" s="166"/>
      <c r="B58" s="165" t="s">
        <v>463</v>
      </c>
      <c r="C58" s="77" t="s">
        <v>27</v>
      </c>
      <c r="D58" s="76"/>
      <c r="E58" s="78">
        <v>123</v>
      </c>
      <c r="F58" s="79">
        <f t="shared" si="0"/>
        <v>6806.37</v>
      </c>
      <c r="G58" s="201">
        <f>F59-G59</f>
        <v>0</v>
      </c>
      <c r="H58" s="202"/>
      <c r="I58" s="202"/>
      <c r="J58" s="202"/>
      <c r="K58" s="202"/>
      <c r="L58" s="202"/>
      <c r="M58" s="202"/>
      <c r="N58" s="202"/>
    </row>
    <row r="59" customHeight="1" spans="1:14">
      <c r="A59" s="166" t="s">
        <v>464</v>
      </c>
      <c r="B59" s="165" t="s">
        <v>465</v>
      </c>
      <c r="C59" s="77" t="s">
        <v>27</v>
      </c>
      <c r="D59" s="76"/>
      <c r="E59" s="78">
        <v>141</v>
      </c>
      <c r="F59" s="79">
        <f t="shared" si="0"/>
        <v>6665.37</v>
      </c>
      <c r="G59" s="122">
        <f>I59+J59+K59+L59+M59+N59</f>
        <v>6665.37</v>
      </c>
      <c r="H59" s="123"/>
      <c r="I59" s="122">
        <v>1564.65</v>
      </c>
      <c r="J59" s="122">
        <v>1000</v>
      </c>
      <c r="K59" s="122">
        <v>0</v>
      </c>
      <c r="L59" s="122">
        <v>1789.72</v>
      </c>
      <c r="M59" s="122">
        <v>1500</v>
      </c>
      <c r="N59" s="122">
        <f>600+190+21</f>
        <v>811</v>
      </c>
    </row>
    <row r="60" customHeight="1" spans="1:14">
      <c r="A60" s="184" t="s">
        <v>466</v>
      </c>
      <c r="B60" s="170" t="s">
        <v>467</v>
      </c>
      <c r="C60" s="86" t="s">
        <v>210</v>
      </c>
      <c r="D60" s="83"/>
      <c r="E60" s="84">
        <v>420</v>
      </c>
      <c r="F60" s="85">
        <f t="shared" si="0"/>
        <v>6245.37</v>
      </c>
      <c r="G60" s="111"/>
      <c r="H60" s="111"/>
      <c r="I60" s="111"/>
      <c r="J60" s="188"/>
      <c r="K60" s="111"/>
      <c r="L60" s="111"/>
      <c r="M60" s="111"/>
      <c r="N60" s="111"/>
    </row>
    <row r="61" customHeight="1" spans="1:6">
      <c r="A61" s="183" t="s">
        <v>468</v>
      </c>
      <c r="B61" s="165" t="s">
        <v>469</v>
      </c>
      <c r="C61" s="77" t="s">
        <v>245</v>
      </c>
      <c r="D61" s="76"/>
      <c r="E61" s="78">
        <v>50</v>
      </c>
      <c r="F61" s="79">
        <f t="shared" si="0"/>
        <v>6195.37</v>
      </c>
    </row>
    <row r="62" customHeight="1" spans="1:6">
      <c r="A62" s="183"/>
      <c r="B62" s="167" t="s">
        <v>470</v>
      </c>
      <c r="C62" s="168" t="s">
        <v>27</v>
      </c>
      <c r="D62" s="18"/>
      <c r="E62" s="19">
        <v>301</v>
      </c>
      <c r="F62" s="79">
        <f t="shared" si="0"/>
        <v>5894.37</v>
      </c>
    </row>
    <row r="63" customHeight="1" spans="2:6">
      <c r="B63" s="165" t="s">
        <v>17</v>
      </c>
      <c r="C63" s="77" t="s">
        <v>86</v>
      </c>
      <c r="D63" s="76"/>
      <c r="E63" s="78">
        <v>394</v>
      </c>
      <c r="F63" s="79">
        <f t="shared" si="0"/>
        <v>5500.37</v>
      </c>
    </row>
    <row r="64" customHeight="1" spans="1:14">
      <c r="A64" s="183" t="s">
        <v>471</v>
      </c>
      <c r="B64" s="165" t="s">
        <v>472</v>
      </c>
      <c r="C64" s="77" t="s">
        <v>27</v>
      </c>
      <c r="D64" s="76"/>
      <c r="E64" s="78">
        <v>343</v>
      </c>
      <c r="F64" s="79">
        <f t="shared" si="0"/>
        <v>5157.37</v>
      </c>
      <c r="G64" s="110"/>
      <c r="H64" s="110"/>
      <c r="I64" s="59"/>
      <c r="J64" s="59"/>
      <c r="K64" s="110"/>
      <c r="L64" s="110"/>
      <c r="M64" s="110"/>
      <c r="N64" s="110"/>
    </row>
    <row r="65" customHeight="1" spans="1:7">
      <c r="A65" s="183"/>
      <c r="B65" s="165" t="s">
        <v>473</v>
      </c>
      <c r="C65" s="77" t="s">
        <v>86</v>
      </c>
      <c r="D65" s="76"/>
      <c r="E65" s="78">
        <v>290</v>
      </c>
      <c r="F65" s="79">
        <f t="shared" si="0"/>
        <v>4867.37</v>
      </c>
      <c r="G65" s="21"/>
    </row>
    <row r="66" customHeight="1" spans="1:14">
      <c r="A66" s="183"/>
      <c r="B66" s="165"/>
      <c r="C66" s="77" t="s">
        <v>219</v>
      </c>
      <c r="D66" s="76"/>
      <c r="E66" s="78">
        <v>150</v>
      </c>
      <c r="F66" s="79">
        <f t="shared" si="0"/>
        <v>4717.37</v>
      </c>
      <c r="G66" s="201">
        <f>F67-G67</f>
        <v>0</v>
      </c>
      <c r="H66" s="202"/>
      <c r="I66" s="202"/>
      <c r="J66" s="202"/>
      <c r="K66" s="202"/>
      <c r="L66" s="202"/>
      <c r="M66" s="202"/>
      <c r="N66" s="202"/>
    </row>
    <row r="67" customHeight="1" spans="1:14">
      <c r="A67" s="183"/>
      <c r="B67" s="187" t="s">
        <v>127</v>
      </c>
      <c r="C67" s="77"/>
      <c r="D67" s="76"/>
      <c r="E67" s="78">
        <v>174</v>
      </c>
      <c r="F67" s="79">
        <f t="shared" si="0"/>
        <v>4543.37</v>
      </c>
      <c r="G67" s="122">
        <f>I67+J67+K67+L67+M67+N67</f>
        <v>4543.37</v>
      </c>
      <c r="H67" s="123"/>
      <c r="I67" s="122">
        <v>1263.65</v>
      </c>
      <c r="J67" s="122">
        <f>1000</f>
        <v>1000</v>
      </c>
      <c r="K67" s="122">
        <v>0</v>
      </c>
      <c r="L67" s="122">
        <v>758.72</v>
      </c>
      <c r="M67" s="122">
        <v>0</v>
      </c>
      <c r="N67" s="122">
        <f>1521</f>
        <v>1521</v>
      </c>
    </row>
    <row r="68" customHeight="1" spans="1:14">
      <c r="A68" s="184" t="s">
        <v>474</v>
      </c>
      <c r="B68" s="170" t="s">
        <v>475</v>
      </c>
      <c r="C68" s="86" t="s">
        <v>245</v>
      </c>
      <c r="D68" s="83"/>
      <c r="E68" s="84">
        <v>69</v>
      </c>
      <c r="F68" s="85">
        <f t="shared" si="0"/>
        <v>4474.37</v>
      </c>
      <c r="G68" s="111"/>
      <c r="H68" s="111"/>
      <c r="I68" s="111"/>
      <c r="J68" s="188"/>
      <c r="K68" s="210"/>
      <c r="L68" s="111"/>
      <c r="M68" s="111"/>
      <c r="N68" s="111"/>
    </row>
    <row r="69" customHeight="1" spans="1:14">
      <c r="A69" s="179"/>
      <c r="B69" s="165" t="s">
        <v>33</v>
      </c>
      <c r="C69" s="77" t="s">
        <v>201</v>
      </c>
      <c r="D69" s="76"/>
      <c r="E69" s="78">
        <v>200</v>
      </c>
      <c r="F69" s="79">
        <f t="shared" si="0"/>
        <v>4274.37</v>
      </c>
      <c r="G69" s="110"/>
      <c r="H69" s="110"/>
      <c r="I69" s="110"/>
      <c r="J69" s="59"/>
      <c r="K69" s="211"/>
      <c r="L69" s="110"/>
      <c r="M69" s="110"/>
      <c r="N69" s="110"/>
    </row>
    <row r="70" customHeight="1" spans="1:14">
      <c r="A70" s="183" t="s">
        <v>476</v>
      </c>
      <c r="B70" s="165" t="s">
        <v>453</v>
      </c>
      <c r="C70" s="77" t="s">
        <v>224</v>
      </c>
      <c r="D70" s="76"/>
      <c r="E70" s="78">
        <v>60</v>
      </c>
      <c r="F70" s="79">
        <f t="shared" si="0"/>
        <v>4214.37</v>
      </c>
      <c r="G70" s="201">
        <f>F71-G71</f>
        <v>4.54747350886464e-12</v>
      </c>
      <c r="H70" s="202"/>
      <c r="I70" s="202"/>
      <c r="J70" s="202"/>
      <c r="K70" s="202"/>
      <c r="L70" s="202"/>
      <c r="M70" s="202"/>
      <c r="N70" s="202"/>
    </row>
    <row r="71" customHeight="1" spans="1:14">
      <c r="A71" s="183"/>
      <c r="B71" s="165" t="s">
        <v>477</v>
      </c>
      <c r="C71" s="77" t="s">
        <v>224</v>
      </c>
      <c r="D71" s="76"/>
      <c r="E71" s="78">
        <v>268</v>
      </c>
      <c r="F71" s="79">
        <f t="shared" si="0"/>
        <v>3946.37</v>
      </c>
      <c r="G71" s="122">
        <f>I71+J71+K71+L71+M71+N71</f>
        <v>3946.37</v>
      </c>
      <c r="H71" s="123"/>
      <c r="I71" s="122">
        <v>1263.65</v>
      </c>
      <c r="J71" s="122">
        <f>1000</f>
        <v>1000</v>
      </c>
      <c r="K71" s="122">
        <v>0</v>
      </c>
      <c r="L71" s="122">
        <f>429.72</f>
        <v>429.72</v>
      </c>
      <c r="M71" s="122">
        <v>0</v>
      </c>
      <c r="N71" s="122">
        <f>1253</f>
        <v>1253</v>
      </c>
    </row>
    <row r="72" customHeight="1" spans="1:14">
      <c r="A72" s="184" t="s">
        <v>478</v>
      </c>
      <c r="B72" s="170" t="s">
        <v>479</v>
      </c>
      <c r="C72" s="86" t="s">
        <v>27</v>
      </c>
      <c r="D72" s="83"/>
      <c r="E72" s="84">
        <v>189</v>
      </c>
      <c r="F72" s="85">
        <f t="shared" si="0"/>
        <v>3757.37</v>
      </c>
      <c r="G72" s="28"/>
      <c r="H72" s="28"/>
      <c r="I72" s="28"/>
      <c r="J72" s="28"/>
      <c r="K72" s="28"/>
      <c r="L72" s="28"/>
      <c r="M72" s="28"/>
      <c r="N72" s="28"/>
    </row>
    <row r="73" customHeight="1" spans="1:6">
      <c r="A73" s="179"/>
      <c r="B73" s="165" t="s">
        <v>480</v>
      </c>
      <c r="C73" s="77" t="s">
        <v>224</v>
      </c>
      <c r="D73" s="76"/>
      <c r="E73" s="78">
        <v>25</v>
      </c>
      <c r="F73" s="79">
        <f t="shared" si="0"/>
        <v>3732.37</v>
      </c>
    </row>
    <row r="74" customHeight="1" spans="1:6">
      <c r="A74" s="183" t="s">
        <v>481</v>
      </c>
      <c r="B74" s="165" t="s">
        <v>482</v>
      </c>
      <c r="C74" s="77" t="s">
        <v>224</v>
      </c>
      <c r="D74" s="76"/>
      <c r="E74" s="78">
        <v>60</v>
      </c>
      <c r="F74" s="79">
        <f t="shared" si="0"/>
        <v>3672.37</v>
      </c>
    </row>
    <row r="75" customHeight="1" spans="1:14">
      <c r="A75" s="183"/>
      <c r="B75" s="165" t="s">
        <v>483</v>
      </c>
      <c r="C75" s="77" t="s">
        <v>245</v>
      </c>
      <c r="D75" s="76"/>
      <c r="E75" s="78">
        <v>200</v>
      </c>
      <c r="F75" s="79">
        <f t="shared" si="0"/>
        <v>3472.37</v>
      </c>
      <c r="G75" s="110"/>
      <c r="H75" s="110"/>
      <c r="I75" s="110"/>
      <c r="J75" s="110"/>
      <c r="K75" s="110"/>
      <c r="L75" s="110"/>
      <c r="M75" s="110"/>
      <c r="N75" s="110"/>
    </row>
    <row r="76" customHeight="1" spans="1:6">
      <c r="A76" s="183"/>
      <c r="B76" s="165" t="s">
        <v>33</v>
      </c>
      <c r="C76" s="77" t="s">
        <v>201</v>
      </c>
      <c r="D76" s="76"/>
      <c r="E76" s="78">
        <v>200</v>
      </c>
      <c r="F76" s="79">
        <f t="shared" si="0"/>
        <v>3272.37</v>
      </c>
    </row>
    <row r="77" customHeight="1" spans="1:6">
      <c r="A77" s="203"/>
      <c r="B77" s="165" t="s">
        <v>459</v>
      </c>
      <c r="C77" s="77"/>
      <c r="D77" s="76">
        <v>500</v>
      </c>
      <c r="E77" s="78"/>
      <c r="F77" s="79">
        <f t="shared" si="0"/>
        <v>3772.37</v>
      </c>
    </row>
    <row r="78" customHeight="1" spans="1:6">
      <c r="A78" s="183"/>
      <c r="B78" s="165" t="s">
        <v>484</v>
      </c>
      <c r="C78" s="77"/>
      <c r="D78" s="76">
        <v>112</v>
      </c>
      <c r="E78" s="78"/>
      <c r="F78" s="79">
        <f t="shared" si="0"/>
        <v>3884.37</v>
      </c>
    </row>
    <row r="79" customHeight="1" spans="1:6">
      <c r="A79" s="183"/>
      <c r="B79" s="187" t="s">
        <v>83</v>
      </c>
      <c r="C79" s="77"/>
      <c r="D79" s="76">
        <v>10</v>
      </c>
      <c r="E79" s="78"/>
      <c r="F79" s="79">
        <f t="shared" si="0"/>
        <v>3894.37</v>
      </c>
    </row>
    <row r="80" customHeight="1" spans="1:6">
      <c r="A80" s="183"/>
      <c r="B80" s="165" t="s">
        <v>256</v>
      </c>
      <c r="C80" s="77" t="s">
        <v>224</v>
      </c>
      <c r="D80" s="76"/>
      <c r="E80" s="78">
        <v>110</v>
      </c>
      <c r="F80" s="79">
        <f t="shared" si="0"/>
        <v>3784.37</v>
      </c>
    </row>
    <row r="81" customHeight="1" spans="1:14">
      <c r="A81" s="183"/>
      <c r="B81" s="167" t="s">
        <v>485</v>
      </c>
      <c r="C81" s="168" t="s">
        <v>27</v>
      </c>
      <c r="D81" s="18"/>
      <c r="E81" s="19">
        <v>274</v>
      </c>
      <c r="F81" s="79">
        <f t="shared" si="0"/>
        <v>3510.37</v>
      </c>
      <c r="G81" s="110"/>
      <c r="H81" s="110"/>
      <c r="I81" s="110"/>
      <c r="J81" s="59"/>
      <c r="K81" s="110"/>
      <c r="L81" s="110"/>
      <c r="M81" s="110"/>
      <c r="N81" s="110"/>
    </row>
    <row r="82" customHeight="1" spans="1:14">
      <c r="A82" s="183"/>
      <c r="B82" s="167" t="s">
        <v>486</v>
      </c>
      <c r="C82" s="168" t="s">
        <v>224</v>
      </c>
      <c r="D82" s="18"/>
      <c r="E82" s="19">
        <v>217</v>
      </c>
      <c r="F82" s="79">
        <f t="shared" si="0"/>
        <v>3293.37</v>
      </c>
      <c r="G82" s="201">
        <f>ABS(F83-G83)</f>
        <v>4.09272615797818e-12</v>
      </c>
      <c r="H82" s="202"/>
      <c r="I82" s="202"/>
      <c r="J82" s="202"/>
      <c r="K82" s="202"/>
      <c r="L82" s="202"/>
      <c r="M82" s="202"/>
      <c r="N82" s="202"/>
    </row>
    <row r="83" customHeight="1" spans="1:14">
      <c r="A83" s="204"/>
      <c r="B83" s="205" t="s">
        <v>487</v>
      </c>
      <c r="C83" s="206" t="s">
        <v>214</v>
      </c>
      <c r="D83" s="91"/>
      <c r="E83" s="92">
        <v>5.9</v>
      </c>
      <c r="F83" s="99">
        <f t="shared" si="0"/>
        <v>3287.47</v>
      </c>
      <c r="G83" s="207">
        <f>I83+J83+K83+L83+M83+N83</f>
        <v>3287.47</v>
      </c>
      <c r="H83" s="208"/>
      <c r="I83" s="207">
        <f>534.65</f>
        <v>534.65</v>
      </c>
      <c r="J83" s="207">
        <f>1000</f>
        <v>1000</v>
      </c>
      <c r="K83" s="207">
        <v>0</v>
      </c>
      <c r="L83" s="207">
        <v>599.82</v>
      </c>
      <c r="M83" s="207">
        <v>0</v>
      </c>
      <c r="N83" s="212">
        <f>900+200+53</f>
        <v>1153</v>
      </c>
    </row>
    <row r="84" customHeight="1" spans="1:14">
      <c r="A84" s="184" t="s">
        <v>488</v>
      </c>
      <c r="B84" s="170" t="s">
        <v>480</v>
      </c>
      <c r="C84" s="86" t="s">
        <v>224</v>
      </c>
      <c r="D84" s="83"/>
      <c r="E84" s="84">
        <v>25</v>
      </c>
      <c r="F84" s="79">
        <f t="shared" si="0"/>
        <v>3262.47</v>
      </c>
      <c r="G84" s="182"/>
      <c r="H84" s="28"/>
      <c r="I84" s="112"/>
      <c r="J84" s="28"/>
      <c r="K84" s="28"/>
      <c r="L84" s="86"/>
      <c r="M84" s="28"/>
      <c r="N84" s="28"/>
    </row>
    <row r="85" customHeight="1" spans="1:6">
      <c r="A85" s="183"/>
      <c r="B85" s="165" t="s">
        <v>426</v>
      </c>
      <c r="C85" s="77" t="s">
        <v>27</v>
      </c>
      <c r="D85" s="76"/>
      <c r="E85" s="78">
        <v>100</v>
      </c>
      <c r="F85" s="79">
        <f t="shared" si="0"/>
        <v>3162.47</v>
      </c>
    </row>
    <row r="86" customHeight="1" spans="1:6">
      <c r="A86" s="183" t="s">
        <v>489</v>
      </c>
      <c r="B86" s="165" t="s">
        <v>490</v>
      </c>
      <c r="C86" s="77" t="s">
        <v>27</v>
      </c>
      <c r="D86" s="76"/>
      <c r="E86" s="78">
        <v>434</v>
      </c>
      <c r="F86" s="79">
        <f t="shared" si="0"/>
        <v>2728.47</v>
      </c>
    </row>
    <row r="87" customHeight="1" spans="1:14">
      <c r="A87" s="183"/>
      <c r="B87" s="165" t="s">
        <v>459</v>
      </c>
      <c r="C87" s="77"/>
      <c r="D87" s="76">
        <v>1000</v>
      </c>
      <c r="E87" s="78"/>
      <c r="F87" s="79">
        <f t="shared" si="0"/>
        <v>3728.47</v>
      </c>
      <c r="H87" s="62"/>
      <c r="I87" s="62"/>
      <c r="J87" s="62"/>
      <c r="K87" s="62"/>
      <c r="L87" s="62"/>
      <c r="M87" s="62"/>
      <c r="N87" s="105"/>
    </row>
    <row r="88" customHeight="1" spans="1:14">
      <c r="A88" s="183"/>
      <c r="B88" s="165" t="s">
        <v>491</v>
      </c>
      <c r="C88" s="77" t="s">
        <v>86</v>
      </c>
      <c r="D88" s="76"/>
      <c r="E88" s="78">
        <f>10+168+163+90</f>
        <v>431</v>
      </c>
      <c r="F88" s="79">
        <f t="shared" si="0"/>
        <v>3297.47</v>
      </c>
      <c r="G88" s="110"/>
      <c r="H88" s="110"/>
      <c r="I88" s="110"/>
      <c r="J88" s="110"/>
      <c r="K88" s="110"/>
      <c r="L88" s="110"/>
      <c r="M88" s="110"/>
      <c r="N88" s="110"/>
    </row>
    <row r="89" customHeight="1" spans="1:14">
      <c r="A89" s="183" t="s">
        <v>492</v>
      </c>
      <c r="B89" s="165"/>
      <c r="C89" s="77" t="s">
        <v>219</v>
      </c>
      <c r="D89" s="76"/>
      <c r="E89" s="78">
        <v>200</v>
      </c>
      <c r="F89" s="79">
        <f t="shared" si="0"/>
        <v>3097.47</v>
      </c>
      <c r="G89" s="110"/>
      <c r="H89" s="110"/>
      <c r="I89" s="110"/>
      <c r="J89" s="110"/>
      <c r="K89" s="110"/>
      <c r="L89" s="110"/>
      <c r="M89" s="110"/>
      <c r="N89" s="110"/>
    </row>
    <row r="90" customHeight="1" spans="1:14">
      <c r="A90" s="183"/>
      <c r="B90" s="165" t="s">
        <v>493</v>
      </c>
      <c r="C90" s="77" t="s">
        <v>224</v>
      </c>
      <c r="D90" s="76"/>
      <c r="E90" s="78">
        <v>195</v>
      </c>
      <c r="F90" s="79">
        <f t="shared" si="0"/>
        <v>2902.47</v>
      </c>
      <c r="G90" s="110"/>
      <c r="H90" s="110"/>
      <c r="I90" s="110"/>
      <c r="J90" s="110"/>
      <c r="K90" s="110"/>
      <c r="L90" s="110"/>
      <c r="M90" s="110"/>
      <c r="N90" s="110"/>
    </row>
    <row r="91" customHeight="1" spans="1:14">
      <c r="A91" s="183"/>
      <c r="B91" s="165" t="s">
        <v>494</v>
      </c>
      <c r="C91" s="77" t="s">
        <v>27</v>
      </c>
      <c r="D91" s="76"/>
      <c r="E91" s="78">
        <v>100</v>
      </c>
      <c r="F91" s="79">
        <f t="shared" si="0"/>
        <v>2802.47</v>
      </c>
      <c r="G91" s="201"/>
      <c r="H91" s="202"/>
      <c r="I91" s="202"/>
      <c r="J91" s="202"/>
      <c r="K91" s="202"/>
      <c r="L91" s="202"/>
      <c r="M91" s="202"/>
      <c r="N91" s="202"/>
    </row>
    <row r="92" customHeight="1" spans="1:14">
      <c r="A92" s="204"/>
      <c r="B92" s="205" t="s">
        <v>495</v>
      </c>
      <c r="C92" s="206" t="s">
        <v>27</v>
      </c>
      <c r="D92" s="91"/>
      <c r="E92" s="92">
        <v>70</v>
      </c>
      <c r="F92" s="99">
        <f t="shared" si="0"/>
        <v>2732.47</v>
      </c>
      <c r="G92" s="207">
        <f t="shared" ref="G92:G93" si="1">I92+J92+K92+L92+M92+N92</f>
        <v>2732.47</v>
      </c>
      <c r="H92" s="208"/>
      <c r="I92" s="207">
        <f t="shared" ref="I92:I93" si="2">534.65</f>
        <v>534.65</v>
      </c>
      <c r="J92" s="207">
        <f t="shared" ref="J92:J93" si="3">1000</f>
        <v>1000</v>
      </c>
      <c r="K92" s="207">
        <v>0</v>
      </c>
      <c r="L92" s="207">
        <v>130.82</v>
      </c>
      <c r="M92" s="207">
        <v>0</v>
      </c>
      <c r="N92" s="212">
        <f>1000+30+30+7</f>
        <v>1067</v>
      </c>
    </row>
    <row r="93" customHeight="1" spans="1:14">
      <c r="A93" s="184" t="s">
        <v>496</v>
      </c>
      <c r="B93" s="170" t="s">
        <v>129</v>
      </c>
      <c r="C93" s="86" t="s">
        <v>201</v>
      </c>
      <c r="D93" s="83"/>
      <c r="E93" s="84">
        <v>400</v>
      </c>
      <c r="F93" s="79">
        <f t="shared" si="0"/>
        <v>2332.47</v>
      </c>
      <c r="G93" s="196">
        <f t="shared" si="1"/>
        <v>2332.47</v>
      </c>
      <c r="H93" s="197"/>
      <c r="I93" s="196">
        <f t="shared" si="2"/>
        <v>534.65</v>
      </c>
      <c r="J93" s="196">
        <f t="shared" si="3"/>
        <v>1000</v>
      </c>
      <c r="K93" s="196">
        <v>0</v>
      </c>
      <c r="L93" s="196">
        <v>130.82</v>
      </c>
      <c r="M93" s="196">
        <v>0</v>
      </c>
      <c r="N93" s="28">
        <f>1000+30+30+7-400</f>
        <v>667</v>
      </c>
    </row>
    <row r="94" customHeight="1" spans="1:14">
      <c r="A94" s="204"/>
      <c r="B94" s="205"/>
      <c r="C94" s="206"/>
      <c r="D94" s="91"/>
      <c r="E94" s="92"/>
      <c r="F94" s="99">
        <f t="shared" si="0"/>
        <v>2332.47</v>
      </c>
      <c r="G94" s="209"/>
      <c r="H94" s="209"/>
      <c r="I94" s="209"/>
      <c r="J94" s="209"/>
      <c r="K94" s="209"/>
      <c r="L94" s="209"/>
      <c r="M94" s="209"/>
      <c r="N94" s="209"/>
    </row>
    <row r="95" customHeight="1" spans="1:6">
      <c r="A95" s="183"/>
      <c r="B95" s="165"/>
      <c r="C95" s="77"/>
      <c r="D95" s="76"/>
      <c r="E95" s="78"/>
      <c r="F95" s="79">
        <f t="shared" si="0"/>
        <v>2332.47</v>
      </c>
    </row>
    <row r="96" customHeight="1" spans="2:2">
      <c r="B96" s="48"/>
    </row>
    <row r="97" customHeight="1" spans="2:6">
      <c r="B97" s="48"/>
      <c r="D97" s="126" t="s">
        <v>294</v>
      </c>
      <c r="E97" s="126" t="s">
        <v>295</v>
      </c>
      <c r="F97" s="126" t="s">
        <v>15</v>
      </c>
    </row>
    <row r="98" customHeight="1" spans="2:6">
      <c r="B98" s="48"/>
      <c r="D98" s="70">
        <f t="shared" ref="D98:E98" si="4">SUM(D3:D95)</f>
        <v>43145.66</v>
      </c>
      <c r="E98" s="70">
        <f t="shared" si="4"/>
        <v>40813.19</v>
      </c>
      <c r="F98" s="70">
        <f>D98-E98</f>
        <v>2332.47</v>
      </c>
    </row>
    <row r="99" customHeight="1" spans="2:5">
      <c r="B99" s="48"/>
      <c r="D99" s="189" t="s">
        <v>417</v>
      </c>
      <c r="E99" s="172">
        <f>E98-15000</f>
        <v>25813.19</v>
      </c>
    </row>
    <row r="100" customHeight="1" spans="2:5">
      <c r="B100" s="48"/>
      <c r="D100" s="189" t="s">
        <v>497</v>
      </c>
      <c r="E100" s="172">
        <f>E99-3500</f>
        <v>22313.19</v>
      </c>
    </row>
    <row r="101" customHeight="1" spans="2:10">
      <c r="B101" s="48"/>
      <c r="I101" s="48"/>
      <c r="J101" s="48"/>
    </row>
    <row r="102" customHeight="1" spans="2:2">
      <c r="B102" s="48"/>
    </row>
    <row r="103" customHeight="1" spans="2:2">
      <c r="B103" s="48"/>
    </row>
    <row r="104" customHeight="1" spans="2:6">
      <c r="B104" s="48"/>
      <c r="D104" s="55" t="s">
        <v>27</v>
      </c>
      <c r="E104" s="53">
        <f ca="1">SUMIF(C$3:E$95,"Grocery",E$3:E$95)</f>
        <v>12415.41</v>
      </c>
      <c r="F104" s="56">
        <f ca="1">SUM(E104:E106)</f>
        <v>16557.41</v>
      </c>
    </row>
    <row r="105" customHeight="1" spans="2:6">
      <c r="B105" s="48"/>
      <c r="D105" s="55" t="s">
        <v>224</v>
      </c>
      <c r="E105" s="53">
        <f ca="1">SUMIF(C$3:E$95,"Snacks",E$3:E$95)</f>
        <v>1230</v>
      </c>
      <c r="F105" s="57"/>
    </row>
    <row r="106" customHeight="1" spans="2:6">
      <c r="B106" s="48"/>
      <c r="D106" s="55" t="s">
        <v>299</v>
      </c>
      <c r="E106" s="53">
        <f ca="1">SUMIF(C$3:E$95,"Food",E$3:E$95)</f>
        <v>2912</v>
      </c>
      <c r="F106" s="58"/>
    </row>
    <row r="107" customHeight="1" spans="2:5">
      <c r="B107" s="48"/>
      <c r="D107" s="55" t="s">
        <v>245</v>
      </c>
      <c r="E107" s="53">
        <f ca="1">SUMIF(C$3:E$95,"Health",E$3:E$95)</f>
        <v>1311.55</v>
      </c>
    </row>
    <row r="108" customHeight="1" spans="2:7">
      <c r="B108" s="48"/>
      <c r="D108" s="55" t="s">
        <v>54</v>
      </c>
      <c r="E108" s="53">
        <f ca="1">SUMIF(C$3:E$95,"Dress",E$3:E$95)</f>
        <v>0</v>
      </c>
      <c r="F108" s="59"/>
      <c r="G108" s="60"/>
    </row>
    <row r="109" customHeight="1" spans="2:5">
      <c r="B109" s="48"/>
      <c r="D109" s="55" t="s">
        <v>214</v>
      </c>
      <c r="E109" s="53">
        <f ca="1">SUMIF(C$3:E$95,"Home",E$3:E$95)</f>
        <v>15554.9</v>
      </c>
    </row>
    <row r="110" customHeight="1" spans="2:7">
      <c r="B110" s="48"/>
      <c r="D110" s="55" t="s">
        <v>281</v>
      </c>
      <c r="E110" s="53">
        <f ca="1">SUMIF(C$3:E$95,"Tickets",E$3:E$95)</f>
        <v>0</v>
      </c>
      <c r="F110" s="61">
        <f ca="1">SUM(E110:E112)</f>
        <v>1900</v>
      </c>
      <c r="G110" s="62"/>
    </row>
    <row r="111" customHeight="1" spans="2:8">
      <c r="B111" s="48"/>
      <c r="D111" s="55" t="s">
        <v>210</v>
      </c>
      <c r="E111" s="53">
        <f ca="1">SUMIF(C$3:E$95,"Transport",E$3:E$95)</f>
        <v>800</v>
      </c>
      <c r="F111" s="66"/>
      <c r="H111" s="67" t="s">
        <v>300</v>
      </c>
    </row>
    <row r="112" customHeight="1" spans="2:8">
      <c r="B112" s="48"/>
      <c r="D112" s="55" t="s">
        <v>201</v>
      </c>
      <c r="E112" s="53">
        <f ca="1">SUMIF(C$3:E$95,"Fuel",E$3:E$95)</f>
        <v>1100</v>
      </c>
      <c r="F112" s="68"/>
      <c r="H112" s="53">
        <f ca="1">E98-E114</f>
        <v>174</v>
      </c>
    </row>
    <row r="113" customHeight="1" spans="2:5">
      <c r="B113" s="48"/>
      <c r="D113" s="55" t="s">
        <v>219</v>
      </c>
      <c r="E113" s="53">
        <f ca="1">SUMIF(C$3:E$95,"Others",E$3:E$95)</f>
        <v>5315.33</v>
      </c>
    </row>
    <row r="114" customHeight="1" spans="2:5">
      <c r="B114" s="48"/>
      <c r="D114" s="69" t="s">
        <v>7</v>
      </c>
      <c r="E114" s="70">
        <f ca="1">SUM(E104:E113)</f>
        <v>40639.19</v>
      </c>
    </row>
    <row r="115" customHeight="1" spans="2:2">
      <c r="B115" s="48"/>
    </row>
    <row r="116" customHeight="1" spans="2:2">
      <c r="B116" s="48"/>
    </row>
    <row r="117" customHeight="1" spans="2:2">
      <c r="B117" s="48"/>
    </row>
    <row r="118" customHeight="1" spans="2:2">
      <c r="B118" s="48"/>
    </row>
    <row r="119" customHeight="1" spans="2:2">
      <c r="B119" s="48"/>
    </row>
    <row r="120" customHeight="1" spans="2:2">
      <c r="B120" s="48"/>
    </row>
    <row r="121" customHeight="1" spans="2:2">
      <c r="B121" s="48"/>
    </row>
    <row r="122" customHeight="1" spans="2:2">
      <c r="B122" s="48"/>
    </row>
    <row r="123" customHeight="1" spans="2:2">
      <c r="B123" s="48"/>
    </row>
    <row r="124" customHeight="1" spans="2:2">
      <c r="B124" s="48"/>
    </row>
    <row r="125" customHeight="1" spans="2:2">
      <c r="B125" s="48"/>
    </row>
    <row r="126" customHeight="1" spans="2:2">
      <c r="B126" s="48"/>
    </row>
    <row r="127" customHeight="1" spans="2:2">
      <c r="B127" s="48"/>
    </row>
    <row r="128" customHeight="1" spans="2:2">
      <c r="B128" s="48"/>
    </row>
    <row r="129" customHeight="1" spans="2:2">
      <c r="B129" s="48"/>
    </row>
    <row r="130" customHeight="1" spans="2:2">
      <c r="B130" s="48"/>
    </row>
    <row r="131" customHeight="1" spans="2:2">
      <c r="B131" s="48"/>
    </row>
    <row r="132" customHeight="1" spans="2:2">
      <c r="B132" s="48"/>
    </row>
    <row r="133" customHeight="1" spans="2:2">
      <c r="B133" s="48"/>
    </row>
    <row r="134" customHeight="1" spans="2:2">
      <c r="B134" s="48"/>
    </row>
    <row r="135" customHeight="1" spans="2:2">
      <c r="B135" s="48"/>
    </row>
    <row r="136" customHeight="1" spans="2:2">
      <c r="B136" s="48"/>
    </row>
    <row r="137" customHeight="1" spans="2:2">
      <c r="B137" s="48"/>
    </row>
    <row r="138" customHeight="1" spans="2:2">
      <c r="B138" s="48"/>
    </row>
    <row r="139" customHeight="1" spans="2:2">
      <c r="B139" s="48"/>
    </row>
    <row r="140" customHeight="1" spans="2:2">
      <c r="B140" s="48"/>
    </row>
    <row r="141" customHeight="1" spans="2:2">
      <c r="B141" s="48"/>
    </row>
    <row r="142" customHeight="1" spans="2:2">
      <c r="B142" s="48"/>
    </row>
    <row r="143" customHeight="1" spans="2:2">
      <c r="B143" s="48"/>
    </row>
    <row r="144" customHeight="1" spans="2:2">
      <c r="B144" s="48"/>
    </row>
    <row r="145" customHeight="1" spans="2:2">
      <c r="B145" s="48"/>
    </row>
    <row r="146" customHeight="1" spans="2:2">
      <c r="B146" s="48"/>
    </row>
    <row r="147" customHeight="1" spans="2:2">
      <c r="B147" s="48"/>
    </row>
    <row r="148" customHeight="1" spans="2:2">
      <c r="B148" s="48"/>
    </row>
    <row r="149" customHeight="1" spans="2:2">
      <c r="B149" s="48"/>
    </row>
    <row r="150" customHeight="1" spans="2:2">
      <c r="B150" s="48"/>
    </row>
    <row r="151" customHeight="1" spans="2:2">
      <c r="B151" s="48"/>
    </row>
    <row r="152" customHeight="1" spans="2:2">
      <c r="B152" s="48"/>
    </row>
    <row r="153" customHeight="1" spans="2:2">
      <c r="B153" s="48"/>
    </row>
    <row r="154" customHeight="1" spans="2:2">
      <c r="B154" s="48"/>
    </row>
    <row r="155" customHeight="1" spans="2:2">
      <c r="B155" s="48"/>
    </row>
    <row r="156" customHeight="1" spans="2:2">
      <c r="B156" s="48"/>
    </row>
    <row r="157" customHeight="1" spans="2:2">
      <c r="B157" s="48"/>
    </row>
    <row r="158" customHeight="1" spans="2:2">
      <c r="B158" s="48"/>
    </row>
    <row r="159" customHeight="1" spans="2:2">
      <c r="B159" s="48"/>
    </row>
    <row r="160" customHeight="1" spans="2:2">
      <c r="B160" s="48"/>
    </row>
    <row r="161" customHeight="1" spans="2:2">
      <c r="B161" s="48"/>
    </row>
    <row r="162" customHeight="1" spans="2:2">
      <c r="B162" s="48"/>
    </row>
    <row r="163" customHeight="1" spans="2:2">
      <c r="B163" s="48"/>
    </row>
    <row r="164" customHeight="1" spans="2:2">
      <c r="B164" s="48"/>
    </row>
    <row r="165" customHeight="1" spans="2:2">
      <c r="B165" s="48"/>
    </row>
    <row r="166" customHeight="1" spans="2:2">
      <c r="B166" s="48"/>
    </row>
    <row r="167" customHeight="1" spans="2:2">
      <c r="B167" s="48"/>
    </row>
    <row r="168" customHeight="1" spans="2:2">
      <c r="B168" s="48"/>
    </row>
    <row r="169" customHeight="1" spans="2:2">
      <c r="B169" s="48"/>
    </row>
    <row r="170" customHeight="1" spans="2:2">
      <c r="B170" s="48"/>
    </row>
    <row r="171" customHeight="1" spans="2:2">
      <c r="B171" s="48"/>
    </row>
    <row r="172" customHeight="1" spans="2:2">
      <c r="B172" s="48"/>
    </row>
    <row r="173" customHeight="1" spans="2:2">
      <c r="B173" s="48"/>
    </row>
    <row r="174" customHeight="1" spans="2:2">
      <c r="B174" s="48"/>
    </row>
    <row r="175" customHeight="1" spans="2:2">
      <c r="B175" s="48"/>
    </row>
    <row r="176" customHeight="1" spans="2:2">
      <c r="B176" s="48"/>
    </row>
    <row r="177" customHeight="1" spans="2:2">
      <c r="B177" s="48"/>
    </row>
    <row r="178" customHeight="1" spans="2:2">
      <c r="B178" s="48"/>
    </row>
    <row r="179" customHeight="1" spans="2:2">
      <c r="B179" s="48"/>
    </row>
    <row r="180" customHeight="1" spans="2:2">
      <c r="B180" s="48"/>
    </row>
    <row r="181" customHeight="1" spans="2:2">
      <c r="B181" s="48"/>
    </row>
    <row r="182" customHeight="1" spans="2:2">
      <c r="B182" s="48"/>
    </row>
    <row r="183" customHeight="1" spans="2:2">
      <c r="B183" s="48"/>
    </row>
    <row r="184" customHeight="1" spans="2:2">
      <c r="B184" s="48"/>
    </row>
    <row r="185" customHeight="1" spans="2:2">
      <c r="B185" s="48"/>
    </row>
    <row r="186" customHeight="1" spans="2:2">
      <c r="B186" s="48"/>
    </row>
    <row r="187" customHeight="1" spans="2:2">
      <c r="B187" s="48"/>
    </row>
    <row r="188" customHeight="1" spans="2:2">
      <c r="B188" s="48"/>
    </row>
    <row r="189" customHeight="1" spans="2:2">
      <c r="B189" s="48"/>
    </row>
    <row r="190" customHeight="1" spans="2:2">
      <c r="B190" s="48"/>
    </row>
    <row r="191" customHeight="1" spans="2:2">
      <c r="B191" s="48"/>
    </row>
    <row r="192" customHeight="1" spans="2:2">
      <c r="B192" s="48"/>
    </row>
    <row r="193" customHeight="1" spans="2:2">
      <c r="B193" s="48"/>
    </row>
    <row r="194" customHeight="1" spans="2:2">
      <c r="B194" s="48"/>
    </row>
    <row r="195" customHeight="1" spans="2:2">
      <c r="B195" s="48"/>
    </row>
    <row r="196" customHeight="1" spans="2:2">
      <c r="B196" s="48"/>
    </row>
    <row r="197" customHeight="1" spans="2:2">
      <c r="B197" s="48"/>
    </row>
    <row r="198" customHeight="1" spans="2:2">
      <c r="B198" s="48"/>
    </row>
    <row r="199" customHeight="1" spans="2:2">
      <c r="B199" s="48"/>
    </row>
    <row r="200" customHeight="1" spans="2:2">
      <c r="B200" s="48"/>
    </row>
    <row r="201" customHeight="1" spans="2:2">
      <c r="B201" s="48"/>
    </row>
    <row r="202" customHeight="1" spans="2:2">
      <c r="B202" s="48"/>
    </row>
    <row r="203" customHeight="1" spans="2:2">
      <c r="B203" s="48"/>
    </row>
    <row r="204" customHeight="1" spans="2:2">
      <c r="B204" s="48"/>
    </row>
    <row r="205" customHeight="1" spans="2:2">
      <c r="B205" s="48"/>
    </row>
    <row r="206" customHeight="1" spans="2:2">
      <c r="B206" s="48"/>
    </row>
    <row r="207" customHeight="1" spans="2:2">
      <c r="B207" s="48"/>
    </row>
    <row r="208" customHeight="1" spans="2:2">
      <c r="B208" s="48"/>
    </row>
    <row r="209" customHeight="1" spans="2:2">
      <c r="B209" s="48"/>
    </row>
    <row r="210" customHeight="1" spans="2:2">
      <c r="B210" s="48"/>
    </row>
    <row r="211" customHeight="1" spans="2:2">
      <c r="B211" s="48"/>
    </row>
    <row r="212" customHeight="1" spans="2:2">
      <c r="B212" s="48"/>
    </row>
    <row r="213" customHeight="1" spans="2:2">
      <c r="B213" s="48"/>
    </row>
    <row r="214" customHeight="1" spans="2:2">
      <c r="B214" s="48"/>
    </row>
    <row r="215" customHeight="1" spans="2:2">
      <c r="B215" s="48"/>
    </row>
    <row r="216" customHeight="1" spans="2:2">
      <c r="B216" s="48"/>
    </row>
    <row r="217" customHeight="1" spans="2:2">
      <c r="B217" s="48"/>
    </row>
    <row r="218" customHeight="1" spans="2:2">
      <c r="B218" s="48"/>
    </row>
    <row r="219" customHeight="1" spans="2:2">
      <c r="B219" s="48"/>
    </row>
    <row r="220" customHeight="1" spans="2:2">
      <c r="B220" s="48"/>
    </row>
    <row r="221" customHeight="1" spans="2:2">
      <c r="B221" s="48"/>
    </row>
    <row r="222" customHeight="1" spans="2:2">
      <c r="B222" s="48"/>
    </row>
    <row r="223" customHeight="1" spans="2:2">
      <c r="B223" s="48"/>
    </row>
    <row r="224" customHeight="1" spans="2:2">
      <c r="B224" s="48"/>
    </row>
    <row r="225" customHeight="1" spans="2:2">
      <c r="B225" s="48"/>
    </row>
    <row r="226" customHeight="1" spans="2:2">
      <c r="B226" s="48"/>
    </row>
    <row r="227" customHeight="1" spans="2:2">
      <c r="B227" s="48"/>
    </row>
    <row r="228" customHeight="1" spans="2:2">
      <c r="B228" s="48"/>
    </row>
    <row r="229" customHeight="1" spans="2:2">
      <c r="B229" s="48"/>
    </row>
    <row r="230" customHeight="1" spans="2:2">
      <c r="B230" s="48"/>
    </row>
    <row r="231" customHeight="1" spans="2:2">
      <c r="B231" s="48"/>
    </row>
    <row r="232" customHeight="1" spans="2:2">
      <c r="B232" s="48"/>
    </row>
    <row r="233" customHeight="1" spans="2:2">
      <c r="B233" s="48"/>
    </row>
    <row r="234" customHeight="1" spans="2:2">
      <c r="B234" s="48"/>
    </row>
    <row r="235" customHeight="1" spans="2:2">
      <c r="B235" s="48"/>
    </row>
    <row r="236" customHeight="1" spans="2:2">
      <c r="B236" s="48"/>
    </row>
    <row r="237" customHeight="1" spans="2:2">
      <c r="B237" s="48"/>
    </row>
    <row r="238" customHeight="1" spans="2:2">
      <c r="B238" s="48"/>
    </row>
    <row r="239" customHeight="1" spans="2:2">
      <c r="B239" s="48"/>
    </row>
    <row r="240" customHeight="1" spans="2:2">
      <c r="B240" s="48"/>
    </row>
    <row r="241" customHeight="1" spans="2:2">
      <c r="B241" s="48"/>
    </row>
    <row r="242" customHeight="1" spans="2:2">
      <c r="B242" s="48"/>
    </row>
    <row r="243" customHeight="1" spans="2:2">
      <c r="B243" s="48"/>
    </row>
    <row r="244" customHeight="1" spans="2:2">
      <c r="B244" s="48"/>
    </row>
    <row r="245" customHeight="1" spans="2:2">
      <c r="B245" s="48"/>
    </row>
    <row r="246" customHeight="1" spans="2:2">
      <c r="B246" s="48"/>
    </row>
    <row r="247" customHeight="1" spans="2:2">
      <c r="B247" s="48"/>
    </row>
    <row r="248" customHeight="1" spans="2:2">
      <c r="B248" s="48"/>
    </row>
    <row r="249" customHeight="1" spans="2:2">
      <c r="B249" s="48"/>
    </row>
    <row r="250" customHeight="1" spans="2:2">
      <c r="B250" s="48"/>
    </row>
    <row r="251" customHeight="1" spans="2:2">
      <c r="B251" s="48"/>
    </row>
    <row r="252" customHeight="1" spans="2:2">
      <c r="B252" s="48"/>
    </row>
    <row r="253" customHeight="1" spans="2:2">
      <c r="B253" s="48"/>
    </row>
    <row r="254" customHeight="1" spans="2:2">
      <c r="B254" s="48"/>
    </row>
    <row r="255" customHeight="1" spans="2:2">
      <c r="B255" s="48"/>
    </row>
    <row r="256" customHeight="1" spans="2:2">
      <c r="B256" s="48"/>
    </row>
    <row r="257" customHeight="1" spans="2:2">
      <c r="B257" s="48"/>
    </row>
    <row r="258" customHeight="1" spans="2:2">
      <c r="B258" s="48"/>
    </row>
    <row r="259" customHeight="1" spans="2:2">
      <c r="B259" s="48"/>
    </row>
    <row r="260" customHeight="1" spans="2:2">
      <c r="B260" s="48"/>
    </row>
    <row r="261" customHeight="1" spans="2:2">
      <c r="B261" s="48"/>
    </row>
    <row r="262" customHeight="1" spans="2:2">
      <c r="B262" s="48"/>
    </row>
    <row r="263" customHeight="1" spans="2:2">
      <c r="B263" s="48"/>
    </row>
    <row r="264" customHeight="1" spans="2:2">
      <c r="B264" s="48"/>
    </row>
    <row r="265" customHeight="1" spans="2:2">
      <c r="B265" s="48"/>
    </row>
    <row r="266" customHeight="1" spans="2:2">
      <c r="B266" s="48"/>
    </row>
    <row r="267" customHeight="1" spans="2:2">
      <c r="B267" s="48"/>
    </row>
    <row r="268" customHeight="1" spans="2:2">
      <c r="B268" s="48"/>
    </row>
    <row r="269" customHeight="1" spans="2:2">
      <c r="B269" s="48"/>
    </row>
    <row r="270" customHeight="1" spans="2:2">
      <c r="B270" s="48"/>
    </row>
    <row r="271" customHeight="1" spans="2:2">
      <c r="B271" s="48"/>
    </row>
    <row r="272" customHeight="1" spans="2:2">
      <c r="B272" s="48"/>
    </row>
    <row r="273" customHeight="1" spans="2:2">
      <c r="B273" s="48"/>
    </row>
    <row r="274" customHeight="1" spans="2:2">
      <c r="B274" s="48"/>
    </row>
    <row r="275" customHeight="1" spans="2:2">
      <c r="B275" s="48"/>
    </row>
    <row r="276" customHeight="1" spans="2:2">
      <c r="B276" s="48"/>
    </row>
    <row r="277" customHeight="1" spans="2:2">
      <c r="B277" s="48"/>
    </row>
    <row r="278" customHeight="1" spans="2:2">
      <c r="B278" s="48"/>
    </row>
    <row r="279" customHeight="1" spans="2:2">
      <c r="B279" s="48"/>
    </row>
    <row r="280" customHeight="1" spans="2:2">
      <c r="B280" s="48"/>
    </row>
    <row r="281" customHeight="1" spans="2:2">
      <c r="B281" s="48"/>
    </row>
    <row r="282" customHeight="1" spans="2:2">
      <c r="B282" s="48"/>
    </row>
    <row r="283" customHeight="1" spans="2:2">
      <c r="B283" s="48"/>
    </row>
    <row r="284" customHeight="1" spans="2:2">
      <c r="B284" s="48"/>
    </row>
    <row r="285" customHeight="1" spans="2:2">
      <c r="B285" s="48"/>
    </row>
    <row r="286" customHeight="1" spans="2:2">
      <c r="B286" s="48"/>
    </row>
    <row r="287" customHeight="1" spans="2:2">
      <c r="B287" s="48"/>
    </row>
    <row r="288" customHeight="1" spans="2:2">
      <c r="B288" s="48"/>
    </row>
    <row r="289" customHeight="1" spans="2:2">
      <c r="B289" s="48"/>
    </row>
    <row r="290" customHeight="1" spans="2:2">
      <c r="B290" s="48"/>
    </row>
    <row r="291" customHeight="1" spans="2:2">
      <c r="B291" s="48"/>
    </row>
    <row r="292" customHeight="1" spans="2:2">
      <c r="B292" s="48"/>
    </row>
    <row r="293" customHeight="1" spans="2:2">
      <c r="B293" s="48"/>
    </row>
    <row r="294" customHeight="1" spans="2:2">
      <c r="B294" s="48"/>
    </row>
    <row r="295" customHeight="1" spans="2:2">
      <c r="B295" s="48"/>
    </row>
    <row r="296" customHeight="1" spans="2:2">
      <c r="B296" s="48"/>
    </row>
    <row r="297" customHeight="1" spans="2:2">
      <c r="B297" s="48"/>
    </row>
    <row r="298" customHeight="1" spans="2:2">
      <c r="B298" s="48"/>
    </row>
    <row r="299" customHeight="1" spans="2:2">
      <c r="B299" s="48"/>
    </row>
    <row r="300" customHeight="1" spans="2:2">
      <c r="B300" s="48"/>
    </row>
    <row r="301" customHeight="1" spans="2:2">
      <c r="B301" s="48"/>
    </row>
    <row r="302" customHeight="1" spans="2:2">
      <c r="B302" s="48"/>
    </row>
    <row r="303" customHeight="1" spans="2:2">
      <c r="B303" s="48"/>
    </row>
    <row r="304" customHeight="1" spans="2:2">
      <c r="B304" s="48"/>
    </row>
    <row r="305" customHeight="1" spans="2:2">
      <c r="B305" s="48"/>
    </row>
    <row r="306" customHeight="1" spans="2:2">
      <c r="B306" s="48"/>
    </row>
    <row r="307" customHeight="1" spans="2:2">
      <c r="B307" s="48"/>
    </row>
    <row r="308" customHeight="1" spans="2:2">
      <c r="B308" s="48"/>
    </row>
    <row r="309" customHeight="1" spans="2:2">
      <c r="B309" s="48"/>
    </row>
    <row r="310" customHeight="1" spans="2:2">
      <c r="B310" s="48"/>
    </row>
    <row r="311" customHeight="1" spans="2:2">
      <c r="B311" s="48"/>
    </row>
    <row r="312" customHeight="1" spans="2:2">
      <c r="B312" s="48"/>
    </row>
    <row r="313" customHeight="1" spans="2:2">
      <c r="B313" s="48"/>
    </row>
    <row r="314" customHeight="1" spans="2:2">
      <c r="B314" s="48"/>
    </row>
    <row r="315" customHeight="1" spans="2:2">
      <c r="B315" s="48"/>
    </row>
    <row r="316" customHeight="1" spans="2:2">
      <c r="B316" s="48"/>
    </row>
    <row r="317" customHeight="1" spans="2:2">
      <c r="B317" s="48"/>
    </row>
    <row r="318" customHeight="1" spans="2:2">
      <c r="B318" s="48"/>
    </row>
    <row r="319" customHeight="1" spans="2:2">
      <c r="B319" s="48"/>
    </row>
    <row r="320" customHeight="1" spans="2:2">
      <c r="B320" s="48"/>
    </row>
    <row r="321" customHeight="1" spans="2:2">
      <c r="B321" s="48"/>
    </row>
    <row r="322" customHeight="1" spans="2:2">
      <c r="B322" s="48"/>
    </row>
    <row r="323" customHeight="1" spans="2:2">
      <c r="B323" s="48"/>
    </row>
    <row r="324" customHeight="1" spans="2:2">
      <c r="B324" s="48"/>
    </row>
    <row r="325" customHeight="1" spans="2:2">
      <c r="B325" s="48"/>
    </row>
    <row r="326" customHeight="1" spans="2:2">
      <c r="B326" s="48"/>
    </row>
    <row r="327" customHeight="1" spans="2:2">
      <c r="B327" s="48"/>
    </row>
    <row r="328" customHeight="1" spans="2:2">
      <c r="B328" s="48"/>
    </row>
    <row r="329" customHeight="1" spans="2:2">
      <c r="B329" s="48"/>
    </row>
    <row r="330" customHeight="1" spans="2:2">
      <c r="B330" s="48"/>
    </row>
    <row r="331" customHeight="1" spans="2:2">
      <c r="B331" s="48"/>
    </row>
    <row r="332" customHeight="1" spans="2:2">
      <c r="B332" s="48"/>
    </row>
    <row r="333" customHeight="1" spans="2:2">
      <c r="B333" s="48"/>
    </row>
    <row r="334" customHeight="1" spans="2:2">
      <c r="B334" s="48"/>
    </row>
    <row r="335" customHeight="1" spans="2:2">
      <c r="B335" s="48"/>
    </row>
    <row r="336" customHeight="1" spans="2:2">
      <c r="B336" s="48"/>
    </row>
    <row r="337" customHeight="1" spans="2:2">
      <c r="B337" s="48"/>
    </row>
    <row r="338" customHeight="1" spans="2:2">
      <c r="B338" s="48"/>
    </row>
    <row r="339" customHeight="1" spans="2:2">
      <c r="B339" s="48"/>
    </row>
    <row r="340" customHeight="1" spans="2:2">
      <c r="B340" s="48"/>
    </row>
    <row r="341" customHeight="1" spans="2:2">
      <c r="B341" s="48"/>
    </row>
    <row r="342" customHeight="1" spans="2:2">
      <c r="B342" s="48"/>
    </row>
    <row r="343" customHeight="1" spans="2:2">
      <c r="B343" s="48"/>
    </row>
    <row r="344" customHeight="1" spans="2:2">
      <c r="B344" s="48"/>
    </row>
    <row r="345" customHeight="1" spans="2:2">
      <c r="B345" s="48"/>
    </row>
    <row r="346" customHeight="1" spans="2:2">
      <c r="B346" s="48"/>
    </row>
    <row r="347" customHeight="1" spans="2:2">
      <c r="B347" s="48"/>
    </row>
    <row r="348" customHeight="1" spans="2:2">
      <c r="B348" s="48"/>
    </row>
    <row r="349" customHeight="1" spans="2:2">
      <c r="B349" s="48"/>
    </row>
    <row r="350" customHeight="1" spans="2:2">
      <c r="B350" s="48"/>
    </row>
    <row r="351" customHeight="1" spans="2:2">
      <c r="B351" s="48"/>
    </row>
    <row r="352" customHeight="1" spans="2:2">
      <c r="B352" s="48"/>
    </row>
    <row r="353" customHeight="1" spans="2:2">
      <c r="B353" s="48"/>
    </row>
    <row r="354" customHeight="1" spans="2:2">
      <c r="B354" s="48"/>
    </row>
    <row r="355" customHeight="1" spans="2:2">
      <c r="B355" s="48"/>
    </row>
    <row r="356" customHeight="1" spans="2:2">
      <c r="B356" s="48"/>
    </row>
    <row r="357" customHeight="1" spans="2:2">
      <c r="B357" s="48"/>
    </row>
    <row r="358" customHeight="1" spans="2:2">
      <c r="B358" s="48"/>
    </row>
    <row r="359" customHeight="1" spans="2:2">
      <c r="B359" s="48"/>
    </row>
    <row r="360" customHeight="1" spans="2:2">
      <c r="B360" s="48"/>
    </row>
    <row r="361" customHeight="1" spans="2:2">
      <c r="B361" s="48"/>
    </row>
    <row r="362" customHeight="1" spans="2:2">
      <c r="B362" s="48"/>
    </row>
    <row r="363" customHeight="1" spans="2:2">
      <c r="B363" s="48"/>
    </row>
    <row r="364" customHeight="1" spans="2:2">
      <c r="B364" s="48"/>
    </row>
    <row r="365" customHeight="1" spans="2:2">
      <c r="B365" s="48"/>
    </row>
    <row r="366" customHeight="1" spans="2:2">
      <c r="B366" s="48"/>
    </row>
    <row r="367" customHeight="1" spans="2:2">
      <c r="B367" s="48"/>
    </row>
    <row r="368" customHeight="1" spans="2:2">
      <c r="B368" s="48"/>
    </row>
    <row r="369" customHeight="1" spans="2:2">
      <c r="B369" s="48"/>
    </row>
    <row r="370" customHeight="1" spans="2:2">
      <c r="B370" s="48"/>
    </row>
    <row r="371" customHeight="1" spans="2:2">
      <c r="B371" s="48"/>
    </row>
    <row r="372" customHeight="1" spans="2:2">
      <c r="B372" s="48"/>
    </row>
    <row r="373" customHeight="1" spans="2:2">
      <c r="B373" s="48"/>
    </row>
    <row r="374" customHeight="1" spans="2:2">
      <c r="B374" s="48"/>
    </row>
    <row r="375" customHeight="1" spans="2:2">
      <c r="B375" s="48"/>
    </row>
    <row r="376" customHeight="1" spans="2:2">
      <c r="B376" s="48"/>
    </row>
    <row r="377" customHeight="1" spans="2:2">
      <c r="B377" s="48"/>
    </row>
    <row r="378" customHeight="1" spans="2:2">
      <c r="B378" s="48"/>
    </row>
    <row r="379" customHeight="1" spans="2:2">
      <c r="B379" s="48"/>
    </row>
    <row r="380" customHeight="1" spans="2:2">
      <c r="B380" s="48"/>
    </row>
    <row r="381" customHeight="1" spans="2:2">
      <c r="B381" s="48"/>
    </row>
    <row r="382" customHeight="1" spans="2:2">
      <c r="B382" s="48"/>
    </row>
    <row r="383" customHeight="1" spans="2:2">
      <c r="B383" s="48"/>
    </row>
    <row r="384" customHeight="1" spans="2:2">
      <c r="B384" s="48"/>
    </row>
    <row r="385" customHeight="1" spans="2:2">
      <c r="B385" s="48"/>
    </row>
    <row r="386" customHeight="1" spans="2:2">
      <c r="B386" s="48"/>
    </row>
    <row r="387" customHeight="1" spans="2:2">
      <c r="B387" s="48"/>
    </row>
    <row r="388" customHeight="1" spans="2:2">
      <c r="B388" s="48"/>
    </row>
    <row r="389" customHeight="1" spans="2:2">
      <c r="B389" s="48"/>
    </row>
    <row r="390" customHeight="1" spans="2:2">
      <c r="B390" s="48"/>
    </row>
    <row r="391" customHeight="1" spans="2:2">
      <c r="B391" s="48"/>
    </row>
    <row r="392" customHeight="1" spans="2:2">
      <c r="B392" s="48"/>
    </row>
    <row r="393" customHeight="1" spans="2:2">
      <c r="B393" s="48"/>
    </row>
    <row r="394" customHeight="1" spans="2:2">
      <c r="B394" s="48"/>
    </row>
    <row r="395" customHeight="1" spans="2:2">
      <c r="B395" s="48"/>
    </row>
    <row r="396" customHeight="1" spans="2:2">
      <c r="B396" s="48"/>
    </row>
    <row r="397" customHeight="1" spans="2:2">
      <c r="B397" s="48"/>
    </row>
    <row r="398" customHeight="1" spans="2:2">
      <c r="B398" s="48"/>
    </row>
    <row r="399" customHeight="1" spans="2:2">
      <c r="B399" s="48"/>
    </row>
    <row r="400" customHeight="1" spans="2:2">
      <c r="B400" s="48"/>
    </row>
    <row r="401" customHeight="1" spans="2:2">
      <c r="B401" s="48"/>
    </row>
    <row r="402" customHeight="1" spans="2:2">
      <c r="B402" s="48"/>
    </row>
    <row r="403" customHeight="1" spans="2:2">
      <c r="B403" s="48"/>
    </row>
    <row r="404" customHeight="1" spans="2:2">
      <c r="B404" s="48"/>
    </row>
    <row r="405" customHeight="1" spans="2:2">
      <c r="B405" s="48"/>
    </row>
    <row r="406" customHeight="1" spans="2:2">
      <c r="B406" s="48"/>
    </row>
    <row r="407" customHeight="1" spans="2:2">
      <c r="B407" s="48"/>
    </row>
    <row r="408" customHeight="1" spans="2:2">
      <c r="B408" s="48"/>
    </row>
    <row r="409" customHeight="1" spans="2:2">
      <c r="B409" s="48"/>
    </row>
    <row r="410" customHeight="1" spans="2:2">
      <c r="B410" s="48"/>
    </row>
    <row r="411" customHeight="1" spans="2:2">
      <c r="B411" s="48"/>
    </row>
    <row r="412" customHeight="1" spans="2:2">
      <c r="B412" s="48"/>
    </row>
    <row r="413" customHeight="1" spans="2:2">
      <c r="B413" s="48"/>
    </row>
    <row r="414" customHeight="1" spans="2:2">
      <c r="B414" s="48"/>
    </row>
    <row r="415" customHeight="1" spans="2:2">
      <c r="B415" s="48"/>
    </row>
    <row r="416" customHeight="1" spans="2:2">
      <c r="B416" s="48"/>
    </row>
    <row r="417" customHeight="1" spans="2:2">
      <c r="B417" s="48"/>
    </row>
    <row r="418" customHeight="1" spans="2:2">
      <c r="B418" s="48"/>
    </row>
    <row r="419" customHeight="1" spans="2:2">
      <c r="B419" s="48"/>
    </row>
    <row r="420" customHeight="1" spans="2:2">
      <c r="B420" s="48"/>
    </row>
    <row r="421" customHeight="1" spans="2:2">
      <c r="B421" s="48"/>
    </row>
    <row r="422" customHeight="1" spans="2:2">
      <c r="B422" s="48"/>
    </row>
    <row r="423" customHeight="1" spans="2:2">
      <c r="B423" s="48"/>
    </row>
    <row r="424" customHeight="1" spans="2:2">
      <c r="B424" s="48"/>
    </row>
    <row r="425" customHeight="1" spans="2:2">
      <c r="B425" s="48"/>
    </row>
    <row r="426" customHeight="1" spans="2:2">
      <c r="B426" s="48"/>
    </row>
    <row r="427" customHeight="1" spans="2:2">
      <c r="B427" s="48"/>
    </row>
    <row r="428" customHeight="1" spans="2:2">
      <c r="B428" s="48"/>
    </row>
    <row r="429" customHeight="1" spans="2:2">
      <c r="B429" s="48"/>
    </row>
    <row r="430" customHeight="1" spans="2:2">
      <c r="B430" s="48"/>
    </row>
    <row r="431" customHeight="1" spans="2:2">
      <c r="B431" s="48"/>
    </row>
    <row r="432" customHeight="1" spans="2:2">
      <c r="B432" s="48"/>
    </row>
    <row r="433" customHeight="1" spans="2:2">
      <c r="B433" s="48"/>
    </row>
    <row r="434" customHeight="1" spans="2:2">
      <c r="B434" s="48"/>
    </row>
    <row r="435" customHeight="1" spans="2:2">
      <c r="B435" s="48"/>
    </row>
    <row r="436" customHeight="1" spans="2:2">
      <c r="B436" s="48"/>
    </row>
    <row r="437" customHeight="1" spans="2:2">
      <c r="B437" s="48"/>
    </row>
    <row r="438" customHeight="1" spans="2:2">
      <c r="B438" s="48"/>
    </row>
    <row r="439" customHeight="1" spans="2:2">
      <c r="B439" s="48"/>
    </row>
    <row r="440" customHeight="1" spans="2:2">
      <c r="B440" s="48"/>
    </row>
    <row r="441" customHeight="1" spans="2:2">
      <c r="B441" s="48"/>
    </row>
    <row r="442" customHeight="1" spans="2:2">
      <c r="B442" s="48"/>
    </row>
    <row r="443" customHeight="1" spans="2:2">
      <c r="B443" s="48"/>
    </row>
    <row r="444" customHeight="1" spans="2:2">
      <c r="B444" s="48"/>
    </row>
    <row r="445" customHeight="1" spans="2:2">
      <c r="B445" s="48"/>
    </row>
    <row r="446" customHeight="1" spans="2:2">
      <c r="B446" s="48"/>
    </row>
    <row r="447" customHeight="1" spans="2:2">
      <c r="B447" s="48"/>
    </row>
    <row r="448" customHeight="1" spans="2:2">
      <c r="B448" s="48"/>
    </row>
    <row r="449" customHeight="1" spans="2:2">
      <c r="B449" s="48"/>
    </row>
    <row r="450" customHeight="1" spans="2:2">
      <c r="B450" s="48"/>
    </row>
    <row r="451" customHeight="1" spans="2:2">
      <c r="B451" s="48"/>
    </row>
    <row r="452" customHeight="1" spans="2:2">
      <c r="B452" s="48"/>
    </row>
    <row r="453" customHeight="1" spans="2:2">
      <c r="B453" s="48"/>
    </row>
    <row r="454" customHeight="1" spans="2:2">
      <c r="B454" s="48"/>
    </row>
    <row r="455" customHeight="1" spans="2:2">
      <c r="B455" s="48"/>
    </row>
    <row r="456" customHeight="1" spans="2:2">
      <c r="B456" s="48"/>
    </row>
    <row r="457" customHeight="1" spans="2:2">
      <c r="B457" s="48"/>
    </row>
    <row r="458" customHeight="1" spans="2:2">
      <c r="B458" s="48"/>
    </row>
    <row r="459" customHeight="1" spans="2:2">
      <c r="B459" s="48"/>
    </row>
    <row r="460" customHeight="1" spans="2:2">
      <c r="B460" s="48"/>
    </row>
    <row r="461" customHeight="1" spans="2:2">
      <c r="B461" s="48"/>
    </row>
    <row r="462" customHeight="1" spans="2:2">
      <c r="B462" s="48"/>
    </row>
    <row r="463" customHeight="1" spans="2:2">
      <c r="B463" s="48"/>
    </row>
    <row r="464" customHeight="1" spans="2:2">
      <c r="B464" s="48"/>
    </row>
    <row r="465" customHeight="1" spans="2:2">
      <c r="B465" s="48"/>
    </row>
    <row r="466" customHeight="1" spans="2:2">
      <c r="B466" s="48"/>
    </row>
    <row r="467" customHeight="1" spans="2:2">
      <c r="B467" s="48"/>
    </row>
    <row r="468" customHeight="1" spans="2:2">
      <c r="B468" s="48"/>
    </row>
    <row r="469" customHeight="1" spans="2:2">
      <c r="B469" s="48"/>
    </row>
    <row r="470" customHeight="1" spans="2:2">
      <c r="B470" s="48"/>
    </row>
    <row r="471" customHeight="1" spans="2:2">
      <c r="B471" s="48"/>
    </row>
    <row r="472" customHeight="1" spans="2:2">
      <c r="B472" s="48"/>
    </row>
    <row r="473" customHeight="1" spans="2:2">
      <c r="B473" s="48"/>
    </row>
    <row r="474" customHeight="1" spans="2:2">
      <c r="B474" s="48"/>
    </row>
    <row r="475" customHeight="1" spans="2:2">
      <c r="B475" s="48"/>
    </row>
    <row r="476" customHeight="1" spans="2:2">
      <c r="B476" s="48"/>
    </row>
    <row r="477" customHeight="1" spans="2:2">
      <c r="B477" s="48"/>
    </row>
    <row r="478" customHeight="1" spans="2:2">
      <c r="B478" s="48"/>
    </row>
    <row r="479" customHeight="1" spans="2:2">
      <c r="B479" s="48"/>
    </row>
    <row r="480" customHeight="1" spans="2:2">
      <c r="B480" s="48"/>
    </row>
    <row r="481" customHeight="1" spans="2:2">
      <c r="B481" s="48"/>
    </row>
    <row r="482" customHeight="1" spans="2:2">
      <c r="B482" s="48"/>
    </row>
    <row r="483" customHeight="1" spans="2:2">
      <c r="B483" s="48"/>
    </row>
    <row r="484" customHeight="1" spans="2:2">
      <c r="B484" s="48"/>
    </row>
    <row r="485" customHeight="1" spans="2:2">
      <c r="B485" s="48"/>
    </row>
    <row r="486" customHeight="1" spans="2:2">
      <c r="B486" s="48"/>
    </row>
    <row r="487" customHeight="1" spans="2:2">
      <c r="B487" s="48"/>
    </row>
    <row r="488" customHeight="1" spans="2:2">
      <c r="B488" s="48"/>
    </row>
    <row r="489" customHeight="1" spans="2:2">
      <c r="B489" s="48"/>
    </row>
    <row r="490" customHeight="1" spans="2:2">
      <c r="B490" s="48"/>
    </row>
    <row r="491" customHeight="1" spans="2:2">
      <c r="B491" s="48"/>
    </row>
    <row r="492" customHeight="1" spans="2:2">
      <c r="B492" s="48"/>
    </row>
    <row r="493" customHeight="1" spans="2:2">
      <c r="B493" s="48"/>
    </row>
    <row r="494" customHeight="1" spans="2:2">
      <c r="B494" s="48"/>
    </row>
    <row r="495" customHeight="1" spans="2:2">
      <c r="B495" s="48"/>
    </row>
    <row r="496" customHeight="1" spans="2:2">
      <c r="B496" s="48"/>
    </row>
    <row r="497" customHeight="1" spans="2:2">
      <c r="B497" s="48"/>
    </row>
    <row r="498" customHeight="1" spans="2:2">
      <c r="B498" s="48"/>
    </row>
    <row r="499" customHeight="1" spans="2:2">
      <c r="B499" s="48"/>
    </row>
    <row r="500" customHeight="1" spans="2:2">
      <c r="B500" s="48"/>
    </row>
    <row r="501" customHeight="1" spans="2:2">
      <c r="B501" s="48"/>
    </row>
    <row r="502" customHeight="1" spans="2:2">
      <c r="B502" s="48"/>
    </row>
    <row r="503" customHeight="1" spans="2:2">
      <c r="B503" s="48"/>
    </row>
    <row r="504" customHeight="1" spans="2:2">
      <c r="B504" s="48"/>
    </row>
    <row r="505" customHeight="1" spans="2:2">
      <c r="B505" s="48"/>
    </row>
    <row r="506" customHeight="1" spans="2:2">
      <c r="B506" s="48"/>
    </row>
    <row r="507" customHeight="1" spans="2:2">
      <c r="B507" s="48"/>
    </row>
    <row r="508" customHeight="1" spans="2:2">
      <c r="B508" s="48"/>
    </row>
    <row r="509" customHeight="1" spans="2:2">
      <c r="B509" s="48"/>
    </row>
    <row r="510" customHeight="1" spans="2:2">
      <c r="B510" s="48"/>
    </row>
    <row r="511" customHeight="1" spans="2:2">
      <c r="B511" s="48"/>
    </row>
    <row r="512" customHeight="1" spans="2:2">
      <c r="B512" s="48"/>
    </row>
    <row r="513" customHeight="1" spans="2:2">
      <c r="B513" s="48"/>
    </row>
    <row r="514" customHeight="1" spans="2:2">
      <c r="B514" s="48"/>
    </row>
    <row r="515" customHeight="1" spans="2:2">
      <c r="B515" s="48"/>
    </row>
    <row r="516" customHeight="1" spans="2:2">
      <c r="B516" s="48"/>
    </row>
    <row r="517" customHeight="1" spans="2:2">
      <c r="B517" s="48"/>
    </row>
    <row r="518" customHeight="1" spans="2:2">
      <c r="B518" s="48"/>
    </row>
    <row r="519" customHeight="1" spans="2:2">
      <c r="B519" s="48"/>
    </row>
    <row r="520" customHeight="1" spans="2:2">
      <c r="B520" s="48"/>
    </row>
    <row r="521" customHeight="1" spans="2:2">
      <c r="B521" s="48"/>
    </row>
    <row r="522" customHeight="1" spans="2:2">
      <c r="B522" s="48"/>
    </row>
    <row r="523" customHeight="1" spans="2:2">
      <c r="B523" s="48"/>
    </row>
    <row r="524" customHeight="1" spans="2:2">
      <c r="B524" s="48"/>
    </row>
    <row r="525" customHeight="1" spans="2:2">
      <c r="B525" s="48"/>
    </row>
    <row r="526" customHeight="1" spans="2:2">
      <c r="B526" s="48"/>
    </row>
    <row r="527" customHeight="1" spans="2:2">
      <c r="B527" s="48"/>
    </row>
    <row r="528" customHeight="1" spans="2:2">
      <c r="B528" s="48"/>
    </row>
    <row r="529" customHeight="1" spans="2:2">
      <c r="B529" s="48"/>
    </row>
    <row r="530" customHeight="1" spans="2:2">
      <c r="B530" s="48"/>
    </row>
    <row r="531" customHeight="1" spans="2:2">
      <c r="B531" s="48"/>
    </row>
    <row r="532" customHeight="1" spans="2:2">
      <c r="B532" s="48"/>
    </row>
    <row r="533" customHeight="1" spans="2:2">
      <c r="B533" s="48"/>
    </row>
    <row r="534" customHeight="1" spans="2:2">
      <c r="B534" s="48"/>
    </row>
    <row r="535" customHeight="1" spans="2:2">
      <c r="B535" s="48"/>
    </row>
    <row r="536" customHeight="1" spans="2:2">
      <c r="B536" s="48"/>
    </row>
    <row r="537" customHeight="1" spans="2:2">
      <c r="B537" s="48"/>
    </row>
    <row r="538" customHeight="1" spans="2:2">
      <c r="B538" s="48"/>
    </row>
    <row r="539" customHeight="1" spans="2:2">
      <c r="B539" s="48"/>
    </row>
    <row r="540" customHeight="1" spans="2:2">
      <c r="B540" s="48"/>
    </row>
    <row r="541" customHeight="1" spans="2:2">
      <c r="B541" s="48"/>
    </row>
    <row r="542" customHeight="1" spans="2:2">
      <c r="B542" s="48"/>
    </row>
    <row r="543" customHeight="1" spans="2:2">
      <c r="B543" s="48"/>
    </row>
    <row r="544" customHeight="1" spans="2:2">
      <c r="B544" s="48"/>
    </row>
    <row r="545" customHeight="1" spans="2:2">
      <c r="B545" s="48"/>
    </row>
    <row r="546" customHeight="1" spans="2:2">
      <c r="B546" s="48"/>
    </row>
    <row r="547" customHeight="1" spans="2:2">
      <c r="B547" s="48"/>
    </row>
    <row r="548" customHeight="1" spans="2:2">
      <c r="B548" s="48"/>
    </row>
    <row r="549" customHeight="1" spans="2:2">
      <c r="B549" s="48"/>
    </row>
    <row r="550" customHeight="1" spans="2:2">
      <c r="B550" s="48"/>
    </row>
    <row r="551" customHeight="1" spans="2:2">
      <c r="B551" s="48"/>
    </row>
    <row r="552" customHeight="1" spans="2:2">
      <c r="B552" s="48"/>
    </row>
    <row r="553" customHeight="1" spans="2:2">
      <c r="B553" s="48"/>
    </row>
    <row r="554" customHeight="1" spans="2:2">
      <c r="B554" s="48"/>
    </row>
    <row r="555" customHeight="1" spans="2:2">
      <c r="B555" s="48"/>
    </row>
    <row r="556" customHeight="1" spans="2:2">
      <c r="B556" s="48"/>
    </row>
    <row r="557" customHeight="1" spans="2:2">
      <c r="B557" s="48"/>
    </row>
    <row r="558" customHeight="1" spans="2:2">
      <c r="B558" s="48"/>
    </row>
    <row r="559" customHeight="1" spans="2:2">
      <c r="B559" s="48"/>
    </row>
    <row r="560" customHeight="1" spans="2:2">
      <c r="B560" s="48"/>
    </row>
    <row r="561" customHeight="1" spans="2:2">
      <c r="B561" s="48"/>
    </row>
    <row r="562" customHeight="1" spans="2:2">
      <c r="B562" s="48"/>
    </row>
    <row r="563" customHeight="1" spans="2:2">
      <c r="B563" s="48"/>
    </row>
    <row r="564" customHeight="1" spans="2:2">
      <c r="B564" s="48"/>
    </row>
    <row r="565" customHeight="1" spans="2:2">
      <c r="B565" s="48"/>
    </row>
    <row r="566" customHeight="1" spans="2:2">
      <c r="B566" s="48"/>
    </row>
    <row r="567" customHeight="1" spans="2:2">
      <c r="B567" s="48"/>
    </row>
    <row r="568" customHeight="1" spans="2:2">
      <c r="B568" s="48"/>
    </row>
    <row r="569" customHeight="1" spans="2:2">
      <c r="B569" s="48"/>
    </row>
    <row r="570" customHeight="1" spans="2:2">
      <c r="B570" s="48"/>
    </row>
    <row r="571" customHeight="1" spans="2:2">
      <c r="B571" s="48"/>
    </row>
    <row r="572" customHeight="1" spans="2:2">
      <c r="B572" s="48"/>
    </row>
    <row r="573" customHeight="1" spans="2:2">
      <c r="B573" s="48"/>
    </row>
    <row r="574" customHeight="1" spans="2:2">
      <c r="B574" s="48"/>
    </row>
    <row r="575" customHeight="1" spans="2:2">
      <c r="B575" s="48"/>
    </row>
    <row r="576" customHeight="1" spans="2:2">
      <c r="B576" s="48"/>
    </row>
    <row r="577" customHeight="1" spans="2:2">
      <c r="B577" s="48"/>
    </row>
    <row r="578" customHeight="1" spans="2:2">
      <c r="B578" s="48"/>
    </row>
    <row r="579" customHeight="1" spans="2:2">
      <c r="B579" s="48"/>
    </row>
    <row r="580" customHeight="1" spans="2:2">
      <c r="B580" s="48"/>
    </row>
    <row r="581" customHeight="1" spans="2:2">
      <c r="B581" s="48"/>
    </row>
    <row r="582" customHeight="1" spans="2:2">
      <c r="B582" s="48"/>
    </row>
    <row r="583" customHeight="1" spans="2:2">
      <c r="B583" s="48"/>
    </row>
    <row r="584" customHeight="1" spans="2:2">
      <c r="B584" s="48"/>
    </row>
    <row r="585" customHeight="1" spans="2:2">
      <c r="B585" s="48"/>
    </row>
    <row r="586" customHeight="1" spans="2:2">
      <c r="B586" s="48"/>
    </row>
    <row r="587" customHeight="1" spans="2:2">
      <c r="B587" s="48"/>
    </row>
    <row r="588" customHeight="1" spans="2:2">
      <c r="B588" s="48"/>
    </row>
    <row r="589" customHeight="1" spans="2:2">
      <c r="B589" s="48"/>
    </row>
    <row r="590" customHeight="1" spans="2:2">
      <c r="B590" s="48"/>
    </row>
    <row r="591" customHeight="1" spans="2:2">
      <c r="B591" s="48"/>
    </row>
    <row r="592" customHeight="1" spans="2:2">
      <c r="B592" s="48"/>
    </row>
    <row r="593" customHeight="1" spans="2:2">
      <c r="B593" s="48"/>
    </row>
    <row r="594" customHeight="1" spans="2:2">
      <c r="B594" s="48"/>
    </row>
    <row r="595" customHeight="1" spans="2:2">
      <c r="B595" s="48"/>
    </row>
    <row r="596" customHeight="1" spans="2:2">
      <c r="B596" s="48"/>
    </row>
    <row r="597" customHeight="1" spans="2:2">
      <c r="B597" s="48"/>
    </row>
    <row r="598" customHeight="1" spans="2:2">
      <c r="B598" s="48"/>
    </row>
    <row r="599" customHeight="1" spans="2:2">
      <c r="B599" s="48"/>
    </row>
    <row r="600" customHeight="1" spans="2:2">
      <c r="B600" s="48"/>
    </row>
    <row r="601" customHeight="1" spans="2:2">
      <c r="B601" s="48"/>
    </row>
    <row r="602" customHeight="1" spans="2:2">
      <c r="B602" s="48"/>
    </row>
    <row r="603" customHeight="1" spans="2:2">
      <c r="B603" s="48"/>
    </row>
    <row r="604" customHeight="1" spans="2:2">
      <c r="B604" s="48"/>
    </row>
    <row r="605" customHeight="1" spans="2:2">
      <c r="B605" s="48"/>
    </row>
    <row r="606" customHeight="1" spans="2:2">
      <c r="B606" s="48"/>
    </row>
    <row r="607" customHeight="1" spans="2:2">
      <c r="B607" s="48"/>
    </row>
    <row r="608" customHeight="1" spans="2:2">
      <c r="B608" s="48"/>
    </row>
    <row r="609" customHeight="1" spans="2:2">
      <c r="B609" s="48"/>
    </row>
    <row r="610" customHeight="1" spans="2:2">
      <c r="B610" s="48"/>
    </row>
    <row r="611" customHeight="1" spans="2:2">
      <c r="B611" s="48"/>
    </row>
    <row r="612" customHeight="1" spans="2:2">
      <c r="B612" s="48"/>
    </row>
    <row r="613" customHeight="1" spans="2:2">
      <c r="B613" s="48"/>
    </row>
    <row r="614" customHeight="1" spans="2:2">
      <c r="B614" s="48"/>
    </row>
    <row r="615" customHeight="1" spans="2:2">
      <c r="B615" s="48"/>
    </row>
    <row r="616" customHeight="1" spans="2:2">
      <c r="B616" s="48"/>
    </row>
    <row r="617" customHeight="1" spans="2:2">
      <c r="B617" s="48"/>
    </row>
    <row r="618" customHeight="1" spans="2:2">
      <c r="B618" s="48"/>
    </row>
    <row r="619" customHeight="1" spans="2:2">
      <c r="B619" s="48"/>
    </row>
    <row r="620" customHeight="1" spans="2:2">
      <c r="B620" s="48"/>
    </row>
    <row r="621" customHeight="1" spans="2:2">
      <c r="B621" s="48"/>
    </row>
    <row r="622" customHeight="1" spans="2:2">
      <c r="B622" s="48"/>
    </row>
    <row r="623" customHeight="1" spans="2:2">
      <c r="B623" s="48"/>
    </row>
    <row r="624" customHeight="1" spans="2:2">
      <c r="B624" s="48"/>
    </row>
    <row r="625" customHeight="1" spans="2:2">
      <c r="B625" s="48"/>
    </row>
    <row r="626" customHeight="1" spans="2:2">
      <c r="B626" s="48"/>
    </row>
    <row r="627" customHeight="1" spans="2:2">
      <c r="B627" s="48"/>
    </row>
    <row r="628" customHeight="1" spans="2:2">
      <c r="B628" s="48"/>
    </row>
    <row r="629" customHeight="1" spans="2:2">
      <c r="B629" s="48"/>
    </row>
    <row r="630" customHeight="1" spans="2:2">
      <c r="B630" s="48"/>
    </row>
    <row r="631" customHeight="1" spans="2:2">
      <c r="B631" s="48"/>
    </row>
    <row r="632" customHeight="1" spans="2:2">
      <c r="B632" s="48"/>
    </row>
    <row r="633" customHeight="1" spans="2:2">
      <c r="B633" s="48"/>
    </row>
    <row r="634" customHeight="1" spans="2:2">
      <c r="B634" s="48"/>
    </row>
    <row r="635" customHeight="1" spans="2:2">
      <c r="B635" s="48"/>
    </row>
    <row r="636" customHeight="1" spans="2:2">
      <c r="B636" s="48"/>
    </row>
    <row r="637" customHeight="1" spans="2:2">
      <c r="B637" s="48"/>
    </row>
    <row r="638" customHeight="1" spans="2:2">
      <c r="B638" s="48"/>
    </row>
    <row r="639" customHeight="1" spans="2:2">
      <c r="B639" s="48"/>
    </row>
    <row r="640" customHeight="1" spans="2:2">
      <c r="B640" s="48"/>
    </row>
    <row r="641" customHeight="1" spans="2:2">
      <c r="B641" s="48"/>
    </row>
    <row r="642" customHeight="1" spans="2:2">
      <c r="B642" s="48"/>
    </row>
    <row r="643" customHeight="1" spans="2:2">
      <c r="B643" s="48"/>
    </row>
    <row r="644" customHeight="1" spans="2:2">
      <c r="B644" s="48"/>
    </row>
    <row r="645" customHeight="1" spans="2:2">
      <c r="B645" s="48"/>
    </row>
    <row r="646" customHeight="1" spans="2:2">
      <c r="B646" s="48"/>
    </row>
    <row r="647" customHeight="1" spans="2:2">
      <c r="B647" s="48"/>
    </row>
    <row r="648" customHeight="1" spans="2:2">
      <c r="B648" s="48"/>
    </row>
    <row r="649" customHeight="1" spans="2:2">
      <c r="B649" s="48"/>
    </row>
    <row r="650" customHeight="1" spans="2:2">
      <c r="B650" s="48"/>
    </row>
    <row r="651" customHeight="1" spans="2:2">
      <c r="B651" s="48"/>
    </row>
    <row r="652" customHeight="1" spans="2:2">
      <c r="B652" s="48"/>
    </row>
    <row r="653" customHeight="1" spans="2:2">
      <c r="B653" s="48"/>
    </row>
    <row r="654" customHeight="1" spans="2:2">
      <c r="B654" s="48"/>
    </row>
    <row r="655" customHeight="1" spans="2:2">
      <c r="B655" s="48"/>
    </row>
    <row r="656" customHeight="1" spans="2:2">
      <c r="B656" s="48"/>
    </row>
    <row r="657" customHeight="1" spans="2:2">
      <c r="B657" s="48"/>
    </row>
    <row r="658" customHeight="1" spans="2:2">
      <c r="B658" s="48"/>
    </row>
    <row r="659" customHeight="1" spans="2:2">
      <c r="B659" s="48"/>
    </row>
    <row r="660" customHeight="1" spans="2:2">
      <c r="B660" s="48"/>
    </row>
    <row r="661" customHeight="1" spans="2:2">
      <c r="B661" s="48"/>
    </row>
    <row r="662" customHeight="1" spans="2:2">
      <c r="B662" s="48"/>
    </row>
    <row r="663" customHeight="1" spans="2:2">
      <c r="B663" s="48"/>
    </row>
    <row r="664" customHeight="1" spans="2:2">
      <c r="B664" s="48"/>
    </row>
    <row r="665" customHeight="1" spans="2:2">
      <c r="B665" s="48"/>
    </row>
    <row r="666" customHeight="1" spans="2:2">
      <c r="B666" s="48"/>
    </row>
    <row r="667" customHeight="1" spans="2:2">
      <c r="B667" s="48"/>
    </row>
    <row r="668" customHeight="1" spans="2:2">
      <c r="B668" s="48"/>
    </row>
    <row r="669" customHeight="1" spans="2:2">
      <c r="B669" s="48"/>
    </row>
    <row r="670" customHeight="1" spans="2:2">
      <c r="B670" s="48"/>
    </row>
    <row r="671" customHeight="1" spans="2:2">
      <c r="B671" s="48"/>
    </row>
    <row r="672" customHeight="1" spans="2:2">
      <c r="B672" s="48"/>
    </row>
    <row r="673" customHeight="1" spans="2:2">
      <c r="B673" s="48"/>
    </row>
    <row r="674" customHeight="1" spans="2:2">
      <c r="B674" s="48"/>
    </row>
    <row r="675" customHeight="1" spans="2:2">
      <c r="B675" s="48"/>
    </row>
    <row r="676" customHeight="1" spans="2:2">
      <c r="B676" s="48"/>
    </row>
    <row r="677" customHeight="1" spans="2:2">
      <c r="B677" s="48"/>
    </row>
    <row r="678" customHeight="1" spans="2:2">
      <c r="B678" s="48"/>
    </row>
    <row r="679" customHeight="1" spans="2:2">
      <c r="B679" s="48"/>
    </row>
    <row r="680" customHeight="1" spans="2:2">
      <c r="B680" s="48"/>
    </row>
    <row r="681" customHeight="1" spans="2:2">
      <c r="B681" s="48"/>
    </row>
    <row r="682" customHeight="1" spans="2:2">
      <c r="B682" s="48"/>
    </row>
    <row r="683" customHeight="1" spans="2:2">
      <c r="B683" s="48"/>
    </row>
    <row r="684" customHeight="1" spans="2:2">
      <c r="B684" s="48"/>
    </row>
    <row r="685" customHeight="1" spans="2:2">
      <c r="B685" s="48"/>
    </row>
    <row r="686" customHeight="1" spans="2:2">
      <c r="B686" s="48"/>
    </row>
    <row r="687" customHeight="1" spans="2:2">
      <c r="B687" s="48"/>
    </row>
    <row r="688" customHeight="1" spans="2:2">
      <c r="B688" s="48"/>
    </row>
    <row r="689" customHeight="1" spans="2:2">
      <c r="B689" s="48"/>
    </row>
    <row r="690" customHeight="1" spans="2:2">
      <c r="B690" s="48"/>
    </row>
    <row r="691" customHeight="1" spans="2:2">
      <c r="B691" s="48"/>
    </row>
    <row r="692" customHeight="1" spans="2:2">
      <c r="B692" s="48"/>
    </row>
    <row r="693" customHeight="1" spans="2:2">
      <c r="B693" s="48"/>
    </row>
    <row r="694" customHeight="1" spans="2:2">
      <c r="B694" s="48"/>
    </row>
    <row r="695" customHeight="1" spans="2:2">
      <c r="B695" s="48"/>
    </row>
    <row r="696" customHeight="1" spans="2:2">
      <c r="B696" s="48"/>
    </row>
    <row r="697" customHeight="1" spans="2:2">
      <c r="B697" s="48"/>
    </row>
    <row r="698" customHeight="1" spans="2:2">
      <c r="B698" s="48"/>
    </row>
    <row r="699" customHeight="1" spans="2:2">
      <c r="B699" s="48"/>
    </row>
    <row r="700" customHeight="1" spans="2:2">
      <c r="B700" s="48"/>
    </row>
    <row r="701" customHeight="1" spans="2:2">
      <c r="B701" s="48"/>
    </row>
    <row r="702" customHeight="1" spans="2:2">
      <c r="B702" s="48"/>
    </row>
    <row r="703" customHeight="1" spans="2:2">
      <c r="B703" s="48"/>
    </row>
    <row r="704" customHeight="1" spans="2:2">
      <c r="B704" s="48"/>
    </row>
    <row r="705" customHeight="1" spans="2:2">
      <c r="B705" s="48"/>
    </row>
    <row r="706" customHeight="1" spans="2:2">
      <c r="B706" s="48"/>
    </row>
    <row r="707" customHeight="1" spans="2:2">
      <c r="B707" s="48"/>
    </row>
    <row r="708" customHeight="1" spans="2:2">
      <c r="B708" s="48"/>
    </row>
    <row r="709" customHeight="1" spans="2:2">
      <c r="B709" s="48"/>
    </row>
    <row r="710" customHeight="1" spans="2:2">
      <c r="B710" s="48"/>
    </row>
    <row r="711" customHeight="1" spans="2:2">
      <c r="B711" s="48"/>
    </row>
    <row r="712" customHeight="1" spans="2:2">
      <c r="B712" s="48"/>
    </row>
    <row r="713" customHeight="1" spans="2:2">
      <c r="B713" s="48"/>
    </row>
    <row r="714" customHeight="1" spans="2:2">
      <c r="B714" s="48"/>
    </row>
    <row r="715" customHeight="1" spans="2:2">
      <c r="B715" s="48"/>
    </row>
    <row r="716" customHeight="1" spans="2:2">
      <c r="B716" s="48"/>
    </row>
    <row r="717" customHeight="1" spans="2:2">
      <c r="B717" s="48"/>
    </row>
    <row r="718" customHeight="1" spans="2:2">
      <c r="B718" s="48"/>
    </row>
    <row r="719" customHeight="1" spans="2:2">
      <c r="B719" s="48"/>
    </row>
    <row r="720" customHeight="1" spans="2:2">
      <c r="B720" s="48"/>
    </row>
    <row r="721" customHeight="1" spans="2:2">
      <c r="B721" s="48"/>
    </row>
    <row r="722" customHeight="1" spans="2:2">
      <c r="B722" s="48"/>
    </row>
    <row r="723" customHeight="1" spans="2:2">
      <c r="B723" s="48"/>
    </row>
    <row r="724" customHeight="1" spans="2:2">
      <c r="B724" s="48"/>
    </row>
    <row r="725" customHeight="1" spans="2:2">
      <c r="B725" s="48"/>
    </row>
    <row r="726" customHeight="1" spans="2:2">
      <c r="B726" s="48"/>
    </row>
    <row r="727" customHeight="1" spans="2:2">
      <c r="B727" s="48"/>
    </row>
    <row r="728" customHeight="1" spans="2:2">
      <c r="B728" s="48"/>
    </row>
    <row r="729" customHeight="1" spans="2:2">
      <c r="B729" s="48"/>
    </row>
    <row r="730" customHeight="1" spans="2:2">
      <c r="B730" s="48"/>
    </row>
    <row r="731" customHeight="1" spans="2:2">
      <c r="B731" s="48"/>
    </row>
    <row r="732" customHeight="1" spans="2:2">
      <c r="B732" s="48"/>
    </row>
    <row r="733" customHeight="1" spans="2:2">
      <c r="B733" s="48"/>
    </row>
    <row r="734" customHeight="1" spans="2:2">
      <c r="B734" s="48"/>
    </row>
    <row r="735" customHeight="1" spans="2:2">
      <c r="B735" s="48"/>
    </row>
    <row r="736" customHeight="1" spans="2:2">
      <c r="B736" s="48"/>
    </row>
    <row r="737" customHeight="1" spans="2:2">
      <c r="B737" s="48"/>
    </row>
    <row r="738" customHeight="1" spans="2:2">
      <c r="B738" s="48"/>
    </row>
    <row r="739" customHeight="1" spans="2:2">
      <c r="B739" s="48"/>
    </row>
    <row r="740" customHeight="1" spans="2:2">
      <c r="B740" s="48"/>
    </row>
    <row r="741" customHeight="1" spans="2:2">
      <c r="B741" s="48"/>
    </row>
    <row r="742" customHeight="1" spans="2:2">
      <c r="B742" s="48"/>
    </row>
    <row r="743" customHeight="1" spans="2:2">
      <c r="B743" s="48"/>
    </row>
    <row r="744" customHeight="1" spans="2:2">
      <c r="B744" s="48"/>
    </row>
    <row r="745" customHeight="1" spans="2:2">
      <c r="B745" s="48"/>
    </row>
    <row r="746" customHeight="1" spans="2:2">
      <c r="B746" s="48"/>
    </row>
    <row r="747" customHeight="1" spans="2:2">
      <c r="B747" s="48"/>
    </row>
    <row r="748" customHeight="1" spans="2:2">
      <c r="B748" s="48"/>
    </row>
    <row r="749" customHeight="1" spans="2:2">
      <c r="B749" s="48"/>
    </row>
    <row r="750" customHeight="1" spans="2:2">
      <c r="B750" s="48"/>
    </row>
    <row r="751" customHeight="1" spans="2:2">
      <c r="B751" s="48"/>
    </row>
    <row r="752" customHeight="1" spans="2:2">
      <c r="B752" s="48"/>
    </row>
    <row r="753" customHeight="1" spans="2:2">
      <c r="B753" s="48"/>
    </row>
    <row r="754" customHeight="1" spans="2:2">
      <c r="B754" s="48"/>
    </row>
    <row r="755" customHeight="1" spans="2:2">
      <c r="B755" s="48"/>
    </row>
    <row r="756" customHeight="1" spans="2:2">
      <c r="B756" s="48"/>
    </row>
    <row r="757" customHeight="1" spans="2:2">
      <c r="B757" s="48"/>
    </row>
    <row r="758" customHeight="1" spans="2:2">
      <c r="B758" s="48"/>
    </row>
    <row r="759" customHeight="1" spans="2:2">
      <c r="B759" s="48"/>
    </row>
    <row r="760" customHeight="1" spans="2:2">
      <c r="B760" s="48"/>
    </row>
    <row r="761" customHeight="1" spans="2:2">
      <c r="B761" s="48"/>
    </row>
    <row r="762" customHeight="1" spans="2:2">
      <c r="B762" s="48"/>
    </row>
    <row r="763" customHeight="1" spans="2:2">
      <c r="B763" s="48"/>
    </row>
    <row r="764" customHeight="1" spans="2:2">
      <c r="B764" s="48"/>
    </row>
    <row r="765" customHeight="1" spans="2:2">
      <c r="B765" s="48"/>
    </row>
    <row r="766" customHeight="1" spans="2:2">
      <c r="B766" s="48"/>
    </row>
    <row r="767" customHeight="1" spans="2:2">
      <c r="B767" s="48"/>
    </row>
    <row r="768" customHeight="1" spans="2:2">
      <c r="B768" s="48"/>
    </row>
    <row r="769" customHeight="1" spans="2:2">
      <c r="B769" s="48"/>
    </row>
    <row r="770" customHeight="1" spans="2:2">
      <c r="B770" s="48"/>
    </row>
    <row r="771" customHeight="1" spans="2:2">
      <c r="B771" s="48"/>
    </row>
    <row r="772" customHeight="1" spans="2:2">
      <c r="B772" s="48"/>
    </row>
    <row r="773" customHeight="1" spans="2:2">
      <c r="B773" s="48"/>
    </row>
    <row r="774" customHeight="1" spans="2:2">
      <c r="B774" s="48"/>
    </row>
    <row r="775" customHeight="1" spans="2:2">
      <c r="B775" s="48"/>
    </row>
    <row r="776" customHeight="1" spans="2:2">
      <c r="B776" s="48"/>
    </row>
    <row r="777" customHeight="1" spans="2:2">
      <c r="B777" s="48"/>
    </row>
    <row r="778" customHeight="1" spans="2:2">
      <c r="B778" s="48"/>
    </row>
    <row r="779" customHeight="1" spans="2:2">
      <c r="B779" s="48"/>
    </row>
    <row r="780" customHeight="1" spans="2:2">
      <c r="B780" s="48"/>
    </row>
    <row r="781" customHeight="1" spans="2:2">
      <c r="B781" s="48"/>
    </row>
    <row r="782" customHeight="1" spans="2:2">
      <c r="B782" s="48"/>
    </row>
    <row r="783" customHeight="1" spans="2:2">
      <c r="B783" s="48"/>
    </row>
    <row r="784" customHeight="1" spans="2:2">
      <c r="B784" s="48"/>
    </row>
    <row r="785" customHeight="1" spans="2:2">
      <c r="B785" s="48"/>
    </row>
    <row r="786" customHeight="1" spans="2:2">
      <c r="B786" s="48"/>
    </row>
    <row r="787" customHeight="1" spans="2:2">
      <c r="B787" s="48"/>
    </row>
    <row r="788" customHeight="1" spans="2:2">
      <c r="B788" s="48"/>
    </row>
    <row r="789" customHeight="1" spans="2:2">
      <c r="B789" s="48"/>
    </row>
    <row r="790" customHeight="1" spans="2:2">
      <c r="B790" s="48"/>
    </row>
    <row r="791" customHeight="1" spans="2:2">
      <c r="B791" s="48"/>
    </row>
    <row r="792" customHeight="1" spans="2:2">
      <c r="B792" s="48"/>
    </row>
    <row r="793" customHeight="1" spans="2:2">
      <c r="B793" s="48"/>
    </row>
    <row r="794" customHeight="1" spans="2:2">
      <c r="B794" s="48"/>
    </row>
    <row r="795" customHeight="1" spans="2:2">
      <c r="B795" s="48"/>
    </row>
    <row r="796" customHeight="1" spans="2:2">
      <c r="B796" s="48"/>
    </row>
    <row r="797" customHeight="1" spans="2:2">
      <c r="B797" s="48"/>
    </row>
    <row r="798" customHeight="1" spans="2:2">
      <c r="B798" s="48"/>
    </row>
    <row r="799" customHeight="1" spans="2:2">
      <c r="B799" s="48"/>
    </row>
    <row r="800" customHeight="1" spans="2:2">
      <c r="B800" s="48"/>
    </row>
    <row r="801" customHeight="1" spans="2:2">
      <c r="B801" s="48"/>
    </row>
    <row r="802" customHeight="1" spans="2:2">
      <c r="B802" s="48"/>
    </row>
    <row r="803" customHeight="1" spans="2:2">
      <c r="B803" s="48"/>
    </row>
    <row r="804" customHeight="1" spans="2:2">
      <c r="B804" s="48"/>
    </row>
    <row r="805" customHeight="1" spans="2:2">
      <c r="B805" s="48"/>
    </row>
    <row r="806" customHeight="1" spans="2:2">
      <c r="B806" s="48"/>
    </row>
    <row r="807" customHeight="1" spans="2:2">
      <c r="B807" s="48"/>
    </row>
    <row r="808" customHeight="1" spans="2:2">
      <c r="B808" s="48"/>
    </row>
    <row r="809" customHeight="1" spans="2:2">
      <c r="B809" s="48"/>
    </row>
    <row r="810" customHeight="1" spans="2:2">
      <c r="B810" s="48"/>
    </row>
    <row r="811" customHeight="1" spans="2:2">
      <c r="B811" s="48"/>
    </row>
    <row r="812" customHeight="1" spans="2:2">
      <c r="B812" s="48"/>
    </row>
    <row r="813" customHeight="1" spans="2:2">
      <c r="B813" s="48"/>
    </row>
    <row r="814" customHeight="1" spans="2:2">
      <c r="B814" s="48"/>
    </row>
    <row r="815" customHeight="1" spans="2:2">
      <c r="B815" s="48"/>
    </row>
    <row r="816" customHeight="1" spans="2:2">
      <c r="B816" s="48"/>
    </row>
    <row r="817" customHeight="1" spans="2:2">
      <c r="B817" s="48"/>
    </row>
    <row r="818" customHeight="1" spans="2:2">
      <c r="B818" s="48"/>
    </row>
    <row r="819" customHeight="1" spans="2:2">
      <c r="B819" s="48"/>
    </row>
    <row r="820" customHeight="1" spans="2:2">
      <c r="B820" s="48"/>
    </row>
    <row r="821" customHeight="1" spans="2:2">
      <c r="B821" s="48"/>
    </row>
    <row r="822" customHeight="1" spans="2:2">
      <c r="B822" s="48"/>
    </row>
    <row r="823" customHeight="1" spans="2:2">
      <c r="B823" s="48"/>
    </row>
    <row r="824" customHeight="1" spans="2:2">
      <c r="B824" s="48"/>
    </row>
    <row r="825" customHeight="1" spans="2:2">
      <c r="B825" s="48"/>
    </row>
    <row r="826" customHeight="1" spans="2:2">
      <c r="B826" s="48"/>
    </row>
    <row r="827" customHeight="1" spans="2:2">
      <c r="B827" s="48"/>
    </row>
    <row r="828" customHeight="1" spans="2:2">
      <c r="B828" s="48"/>
    </row>
    <row r="829" customHeight="1" spans="2:2">
      <c r="B829" s="48"/>
    </row>
    <row r="830" customHeight="1" spans="2:2">
      <c r="B830" s="48"/>
    </row>
    <row r="831" customHeight="1" spans="2:2">
      <c r="B831" s="48"/>
    </row>
    <row r="832" customHeight="1" spans="2:2">
      <c r="B832" s="48"/>
    </row>
    <row r="833" customHeight="1" spans="2:2">
      <c r="B833" s="48"/>
    </row>
    <row r="834" customHeight="1" spans="2:2">
      <c r="B834" s="48"/>
    </row>
    <row r="835" customHeight="1" spans="2:2">
      <c r="B835" s="48"/>
    </row>
    <row r="836" customHeight="1" spans="2:2">
      <c r="B836" s="48"/>
    </row>
    <row r="837" customHeight="1" spans="2:2">
      <c r="B837" s="48"/>
    </row>
    <row r="838" customHeight="1" spans="2:2">
      <c r="B838" s="48"/>
    </row>
    <row r="839" customHeight="1" spans="2:2">
      <c r="B839" s="48"/>
    </row>
    <row r="840" customHeight="1" spans="2:2">
      <c r="B840" s="48"/>
    </row>
    <row r="841" customHeight="1" spans="2:2">
      <c r="B841" s="48"/>
    </row>
    <row r="842" customHeight="1" spans="2:2">
      <c r="B842" s="48"/>
    </row>
    <row r="843" customHeight="1" spans="2:2">
      <c r="B843" s="48"/>
    </row>
    <row r="844" customHeight="1" spans="2:2">
      <c r="B844" s="48"/>
    </row>
    <row r="845" customHeight="1" spans="2:2">
      <c r="B845" s="48"/>
    </row>
    <row r="846" customHeight="1" spans="2:2">
      <c r="B846" s="48"/>
    </row>
    <row r="847" customHeight="1" spans="2:2">
      <c r="B847" s="48"/>
    </row>
    <row r="848" customHeight="1" spans="2:2">
      <c r="B848" s="48"/>
    </row>
    <row r="849" customHeight="1" spans="2:2">
      <c r="B849" s="48"/>
    </row>
    <row r="850" customHeight="1" spans="2:2">
      <c r="B850" s="48"/>
    </row>
    <row r="851" customHeight="1" spans="2:2">
      <c r="B851" s="48"/>
    </row>
    <row r="852" customHeight="1" spans="2:2">
      <c r="B852" s="48"/>
    </row>
    <row r="853" customHeight="1" spans="2:2">
      <c r="B853" s="48"/>
    </row>
    <row r="854" customHeight="1" spans="2:2">
      <c r="B854" s="48"/>
    </row>
    <row r="855" customHeight="1" spans="2:2">
      <c r="B855" s="48"/>
    </row>
    <row r="856" customHeight="1" spans="2:2">
      <c r="B856" s="48"/>
    </row>
    <row r="857" customHeight="1" spans="2:2">
      <c r="B857" s="48"/>
    </row>
    <row r="858" customHeight="1" spans="2:2">
      <c r="B858" s="48"/>
    </row>
    <row r="859" customHeight="1" spans="2:2">
      <c r="B859" s="48"/>
    </row>
    <row r="860" customHeight="1" spans="2:2">
      <c r="B860" s="48"/>
    </row>
    <row r="861" customHeight="1" spans="2:2">
      <c r="B861" s="48"/>
    </row>
    <row r="862" customHeight="1" spans="2:2">
      <c r="B862" s="48"/>
    </row>
    <row r="863" customHeight="1" spans="2:2">
      <c r="B863" s="48"/>
    </row>
    <row r="864" customHeight="1" spans="2:2">
      <c r="B864" s="48"/>
    </row>
    <row r="865" customHeight="1" spans="2:2">
      <c r="B865" s="48"/>
    </row>
    <row r="866" customHeight="1" spans="2:2">
      <c r="B866" s="48"/>
    </row>
    <row r="867" customHeight="1" spans="2:2">
      <c r="B867" s="48"/>
    </row>
    <row r="868" customHeight="1" spans="2:2">
      <c r="B868" s="48"/>
    </row>
    <row r="869" customHeight="1" spans="2:2">
      <c r="B869" s="48"/>
    </row>
    <row r="870" customHeight="1" spans="2:2">
      <c r="B870" s="48"/>
    </row>
    <row r="871" customHeight="1" spans="2:2">
      <c r="B871" s="48"/>
    </row>
    <row r="872" customHeight="1" spans="2:2">
      <c r="B872" s="48"/>
    </row>
    <row r="873" customHeight="1" spans="2:2">
      <c r="B873" s="48"/>
    </row>
    <row r="874" customHeight="1" spans="2:2">
      <c r="B874" s="48"/>
    </row>
    <row r="875" customHeight="1" spans="2:2">
      <c r="B875" s="48"/>
    </row>
    <row r="876" customHeight="1" spans="2:2">
      <c r="B876" s="48"/>
    </row>
    <row r="877" customHeight="1" spans="2:2">
      <c r="B877" s="48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104:F106"/>
    <mergeCell ref="F110:F112"/>
    <mergeCell ref="G1:G2"/>
    <mergeCell ref="H1:H2"/>
    <mergeCell ref="I1:I2"/>
    <mergeCell ref="J1:J2"/>
    <mergeCell ref="K1:K2"/>
    <mergeCell ref="L1:L2"/>
  </mergeCells>
  <dataValidations count="1">
    <dataValidation type="list" allowBlank="1" showErrorMessage="1" sqref="C3:C95">
      <formula1>"Grocery,Health,Others,Home,Transport,Fuel,Tickets,Food,Snacks,Dress"</formula1>
    </dataValidation>
  </dataValidation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53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63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206</v>
      </c>
      <c r="J1" s="31" t="s">
        <v>498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164" t="s">
        <v>499</v>
      </c>
      <c r="B3" s="165" t="s">
        <v>6</v>
      </c>
      <c r="C3" s="77"/>
      <c r="D3" s="76">
        <v>2332.47</v>
      </c>
      <c r="E3" s="78"/>
      <c r="F3" s="79">
        <f>D3-E3</f>
        <v>2332.47</v>
      </c>
      <c r="G3" s="110"/>
      <c r="H3" s="105"/>
      <c r="I3" s="105"/>
      <c r="J3" s="105"/>
      <c r="K3" s="105"/>
      <c r="L3" s="105"/>
      <c r="M3" s="105"/>
      <c r="N3" s="105"/>
    </row>
    <row r="4" customHeight="1" spans="2:14">
      <c r="B4" s="165" t="s">
        <v>437</v>
      </c>
      <c r="C4" s="77"/>
      <c r="D4" s="76">
        <v>1000</v>
      </c>
      <c r="E4" s="78"/>
      <c r="F4" s="79">
        <f t="shared" ref="F4:F128" si="0">(D4-E4)+F3</f>
        <v>3332.47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166"/>
      <c r="B5" s="165" t="s">
        <v>500</v>
      </c>
      <c r="C5" s="77"/>
      <c r="D5" s="76">
        <v>10000</v>
      </c>
      <c r="E5" s="78"/>
      <c r="F5" s="79">
        <f t="shared" si="0"/>
        <v>13332.47</v>
      </c>
      <c r="G5" s="79"/>
      <c r="H5" s="77"/>
      <c r="I5" s="77"/>
      <c r="J5" s="77"/>
      <c r="K5" s="77"/>
      <c r="L5" s="77"/>
      <c r="M5" s="77"/>
      <c r="N5" s="77"/>
    </row>
    <row r="6" customHeight="1" spans="1:14">
      <c r="A6" s="166"/>
      <c r="B6" s="165" t="s">
        <v>501</v>
      </c>
      <c r="C6" s="77"/>
      <c r="D6" s="76">
        <v>54</v>
      </c>
      <c r="E6" s="78"/>
      <c r="F6" s="79">
        <f t="shared" si="0"/>
        <v>13386.47</v>
      </c>
      <c r="G6" s="79"/>
      <c r="H6" s="77"/>
      <c r="I6" s="77"/>
      <c r="J6" s="77"/>
      <c r="K6" s="77"/>
      <c r="L6" s="77"/>
      <c r="M6" s="77"/>
      <c r="N6" s="77"/>
    </row>
    <row r="7" customHeight="1" spans="1:14">
      <c r="A7" s="166"/>
      <c r="B7" s="187" t="s">
        <v>83</v>
      </c>
      <c r="C7" s="77"/>
      <c r="D7" s="76"/>
      <c r="E7" s="78">
        <v>48</v>
      </c>
      <c r="F7" s="79">
        <f t="shared" si="0"/>
        <v>13338.47</v>
      </c>
      <c r="G7" s="77"/>
      <c r="H7" s="77"/>
      <c r="I7" s="77"/>
      <c r="J7" s="77"/>
      <c r="K7" s="77"/>
      <c r="L7" s="77"/>
      <c r="M7" s="77"/>
      <c r="N7" s="77"/>
    </row>
    <row r="8" customHeight="1" spans="1:14">
      <c r="A8" s="166"/>
      <c r="B8" s="165" t="s">
        <v>502</v>
      </c>
      <c r="C8" s="77" t="s">
        <v>214</v>
      </c>
      <c r="D8" s="76"/>
      <c r="E8" s="78">
        <v>512</v>
      </c>
      <c r="F8" s="79">
        <f t="shared" si="0"/>
        <v>12826.47</v>
      </c>
      <c r="G8" s="77"/>
      <c r="H8" s="77"/>
      <c r="I8" s="77"/>
      <c r="J8" s="77"/>
      <c r="K8" s="77"/>
      <c r="L8" s="77"/>
      <c r="M8" s="77"/>
      <c r="N8" s="77"/>
    </row>
    <row r="9" customHeight="1" spans="1:14">
      <c r="A9" s="166"/>
      <c r="B9" s="165" t="s">
        <v>503</v>
      </c>
      <c r="C9" s="77" t="s">
        <v>210</v>
      </c>
      <c r="D9" s="76"/>
      <c r="E9" s="78">
        <f>170+170</f>
        <v>340</v>
      </c>
      <c r="F9" s="79">
        <f t="shared" si="0"/>
        <v>12486.47</v>
      </c>
      <c r="G9" s="77"/>
      <c r="H9" s="77"/>
      <c r="I9" s="77"/>
      <c r="J9" s="77"/>
      <c r="K9" s="77"/>
      <c r="L9" s="77"/>
      <c r="M9" s="77"/>
      <c r="N9" s="77"/>
    </row>
    <row r="10" customHeight="1" spans="1:14">
      <c r="A10" s="166"/>
      <c r="B10" s="165" t="s">
        <v>74</v>
      </c>
      <c r="C10" s="77"/>
      <c r="D10" s="76">
        <v>36063</v>
      </c>
      <c r="E10" s="78"/>
      <c r="F10" s="79">
        <f t="shared" si="0"/>
        <v>48549.47</v>
      </c>
      <c r="G10" s="158"/>
      <c r="H10" s="158"/>
      <c r="I10" s="158"/>
      <c r="J10" s="158"/>
      <c r="K10" s="158"/>
      <c r="L10" s="158"/>
      <c r="M10" s="158"/>
      <c r="N10" s="105"/>
    </row>
    <row r="11" customHeight="1" spans="1:14">
      <c r="A11" s="166"/>
      <c r="B11" s="165" t="s">
        <v>504</v>
      </c>
      <c r="C11" s="77" t="s">
        <v>219</v>
      </c>
      <c r="D11" s="76"/>
      <c r="E11" s="78">
        <v>68</v>
      </c>
      <c r="F11" s="79">
        <f t="shared" si="0"/>
        <v>48481.47</v>
      </c>
      <c r="G11" s="77"/>
      <c r="H11" s="77"/>
      <c r="I11" s="77"/>
      <c r="J11" s="77"/>
      <c r="K11" s="77"/>
      <c r="L11" s="77"/>
      <c r="M11" s="77"/>
      <c r="N11" s="77"/>
    </row>
    <row r="12" customHeight="1" spans="1:14">
      <c r="A12" s="166"/>
      <c r="B12" s="165" t="s">
        <v>505</v>
      </c>
      <c r="C12" s="77" t="s">
        <v>219</v>
      </c>
      <c r="D12" s="76"/>
      <c r="E12" s="78">
        <v>2242.1</v>
      </c>
      <c r="F12" s="79">
        <f t="shared" si="0"/>
        <v>46239.37</v>
      </c>
      <c r="G12" s="77"/>
      <c r="H12" s="77"/>
      <c r="I12" s="77"/>
      <c r="J12" s="77"/>
      <c r="K12" s="77"/>
      <c r="L12" s="77"/>
      <c r="M12" s="77"/>
      <c r="N12" s="77"/>
    </row>
    <row r="13" customHeight="1" spans="1:14">
      <c r="A13" s="166"/>
      <c r="B13" s="165" t="s">
        <v>506</v>
      </c>
      <c r="C13" s="77" t="s">
        <v>219</v>
      </c>
      <c r="D13" s="76"/>
      <c r="E13" s="78">
        <v>400</v>
      </c>
      <c r="F13" s="79">
        <f t="shared" si="0"/>
        <v>45839.37</v>
      </c>
      <c r="G13" s="172"/>
      <c r="H13" s="105"/>
      <c r="I13" s="105"/>
      <c r="J13" s="105"/>
      <c r="K13" s="105"/>
      <c r="L13" s="105"/>
      <c r="M13" s="105"/>
      <c r="N13" s="105"/>
    </row>
    <row r="14" customHeight="1" spans="1:14">
      <c r="A14" s="166"/>
      <c r="B14" s="165" t="s">
        <v>230</v>
      </c>
      <c r="C14" s="77" t="s">
        <v>219</v>
      </c>
      <c r="D14" s="76"/>
      <c r="E14" s="78">
        <v>4000</v>
      </c>
      <c r="F14" s="79">
        <f t="shared" si="0"/>
        <v>41839.37</v>
      </c>
      <c r="G14" s="172"/>
      <c r="H14" s="105"/>
      <c r="I14" s="105"/>
      <c r="J14" s="105"/>
      <c r="K14" s="105"/>
      <c r="L14" s="105"/>
      <c r="M14" s="105"/>
      <c r="N14" s="105"/>
    </row>
    <row r="15" customHeight="1" spans="1:14">
      <c r="A15" s="166"/>
      <c r="B15" s="165" t="s">
        <v>129</v>
      </c>
      <c r="C15" s="77" t="s">
        <v>210</v>
      </c>
      <c r="D15" s="76"/>
      <c r="E15" s="78">
        <v>400</v>
      </c>
      <c r="F15" s="79">
        <f t="shared" si="0"/>
        <v>41439.37</v>
      </c>
      <c r="G15" s="77">
        <f>ABS(G16-F16)</f>
        <v>1000</v>
      </c>
      <c r="H15" s="77"/>
      <c r="I15" s="77"/>
      <c r="J15" s="77"/>
      <c r="K15" s="77"/>
      <c r="L15" s="77"/>
      <c r="M15" s="77"/>
      <c r="N15" s="77"/>
    </row>
    <row r="16" customHeight="1" spans="1:14">
      <c r="A16" s="166"/>
      <c r="B16" s="165"/>
      <c r="C16" s="77" t="s">
        <v>219</v>
      </c>
      <c r="D16" s="76"/>
      <c r="E16" s="78">
        <v>20</v>
      </c>
      <c r="F16" s="79">
        <f t="shared" si="0"/>
        <v>41419.37</v>
      </c>
      <c r="G16" s="79">
        <f>H16+I16+J16+K16+L16+M16+N16</f>
        <v>40419.37</v>
      </c>
      <c r="H16" s="77">
        <v>0</v>
      </c>
      <c r="I16" s="77">
        <f>10000+534.65</f>
        <v>10534.65</v>
      </c>
      <c r="J16" s="77">
        <v>0</v>
      </c>
      <c r="K16" s="77">
        <v>0</v>
      </c>
      <c r="L16" s="77">
        <f>28967.72-170</f>
        <v>28797.72</v>
      </c>
      <c r="M16" s="77">
        <v>0</v>
      </c>
      <c r="N16" s="77">
        <f>1070+17</f>
        <v>1087</v>
      </c>
    </row>
    <row r="17" customHeight="1" spans="1:14">
      <c r="A17" s="169" t="s">
        <v>507</v>
      </c>
      <c r="B17" s="170" t="s">
        <v>221</v>
      </c>
      <c r="C17" s="86" t="s">
        <v>214</v>
      </c>
      <c r="D17" s="83"/>
      <c r="E17" s="84">
        <v>3957</v>
      </c>
      <c r="F17" s="85">
        <f t="shared" si="0"/>
        <v>37462.37</v>
      </c>
      <c r="G17" s="28"/>
      <c r="H17" s="28"/>
      <c r="I17" s="28"/>
      <c r="J17" s="28"/>
      <c r="K17" s="28"/>
      <c r="L17" s="28"/>
      <c r="M17" s="28"/>
      <c r="N17" s="112"/>
    </row>
    <row r="18" customHeight="1" spans="1:14">
      <c r="A18" s="190"/>
      <c r="B18" s="191" t="s">
        <v>24</v>
      </c>
      <c r="C18" s="77" t="s">
        <v>214</v>
      </c>
      <c r="D18" s="76"/>
      <c r="E18" s="78">
        <v>15000</v>
      </c>
      <c r="F18" s="79">
        <f t="shared" si="0"/>
        <v>22462.37</v>
      </c>
      <c r="G18" s="158"/>
      <c r="H18" s="158"/>
      <c r="I18" s="158"/>
      <c r="J18" s="158"/>
      <c r="K18" s="158"/>
      <c r="L18" s="158"/>
      <c r="M18" s="158"/>
      <c r="N18" s="158"/>
    </row>
    <row r="19" customHeight="1" spans="1:14">
      <c r="A19" s="190"/>
      <c r="B19" s="167" t="s">
        <v>434</v>
      </c>
      <c r="C19" s="168" t="s">
        <v>86</v>
      </c>
      <c r="D19" s="18"/>
      <c r="E19" s="19">
        <v>308</v>
      </c>
      <c r="F19" s="79">
        <f t="shared" si="0"/>
        <v>22154.37</v>
      </c>
      <c r="G19" s="158"/>
      <c r="H19" s="158"/>
      <c r="I19" s="158"/>
      <c r="J19" s="158"/>
      <c r="K19" s="158"/>
      <c r="L19" s="158"/>
      <c r="M19" s="158"/>
      <c r="N19" s="158"/>
    </row>
    <row r="20" customHeight="1" spans="1:14">
      <c r="A20" s="190"/>
      <c r="B20" s="167" t="s">
        <v>508</v>
      </c>
      <c r="C20" s="168"/>
      <c r="D20" s="18">
        <v>12</v>
      </c>
      <c r="E20" s="19"/>
      <c r="F20" s="79">
        <f t="shared" si="0"/>
        <v>22166.37</v>
      </c>
      <c r="G20" s="158"/>
      <c r="H20" s="158"/>
      <c r="I20" s="158"/>
      <c r="J20" s="158"/>
      <c r="K20" s="158"/>
      <c r="L20" s="158"/>
      <c r="M20" s="158"/>
      <c r="N20" s="158"/>
    </row>
    <row r="21" customHeight="1" spans="2:14">
      <c r="B21" s="165" t="s">
        <v>509</v>
      </c>
      <c r="C21" s="77" t="s">
        <v>281</v>
      </c>
      <c r="D21" s="76"/>
      <c r="E21" s="78">
        <v>1834</v>
      </c>
      <c r="F21" s="79">
        <f t="shared" si="0"/>
        <v>20332.37</v>
      </c>
      <c r="G21" s="158"/>
      <c r="H21" s="158"/>
      <c r="I21" s="158"/>
      <c r="J21" s="158"/>
      <c r="K21" s="158"/>
      <c r="L21" s="158"/>
      <c r="M21" s="158"/>
      <c r="N21" s="158"/>
    </row>
    <row r="22" customHeight="1" spans="1:14">
      <c r="A22" s="166"/>
      <c r="B22" s="165" t="s">
        <v>510</v>
      </c>
      <c r="C22" s="77" t="s">
        <v>281</v>
      </c>
      <c r="D22" s="76"/>
      <c r="E22" s="78">
        <v>1180.2</v>
      </c>
      <c r="F22" s="79">
        <f t="shared" si="0"/>
        <v>19152.17</v>
      </c>
      <c r="G22" s="158"/>
      <c r="H22" s="158"/>
      <c r="I22" s="158"/>
      <c r="J22" s="158"/>
      <c r="K22" s="158"/>
      <c r="L22" s="158"/>
      <c r="M22" s="158"/>
      <c r="N22" s="158"/>
    </row>
    <row r="23" customHeight="1" spans="1:14">
      <c r="A23" s="166" t="s">
        <v>511</v>
      </c>
      <c r="B23" s="165" t="s">
        <v>38</v>
      </c>
      <c r="C23" s="77" t="s">
        <v>201</v>
      </c>
      <c r="D23" s="76"/>
      <c r="E23" s="78">
        <v>210</v>
      </c>
      <c r="F23" s="79">
        <f t="shared" si="0"/>
        <v>18942.17</v>
      </c>
      <c r="G23" s="77"/>
      <c r="H23" s="77"/>
      <c r="I23" s="77"/>
      <c r="J23" s="77"/>
      <c r="K23" s="77"/>
      <c r="L23" s="77"/>
      <c r="M23" s="77"/>
      <c r="N23" s="77"/>
    </row>
    <row r="24" customHeight="1" spans="1:14">
      <c r="A24" s="179">
        <v>45754</v>
      </c>
      <c r="B24" s="165" t="s">
        <v>17</v>
      </c>
      <c r="C24" s="77" t="s">
        <v>86</v>
      </c>
      <c r="D24" s="76"/>
      <c r="E24" s="78">
        <v>115</v>
      </c>
      <c r="F24" s="79">
        <f t="shared" si="0"/>
        <v>18827.17</v>
      </c>
      <c r="G24" s="172"/>
      <c r="H24" s="105"/>
      <c r="I24" s="105"/>
      <c r="J24" s="105"/>
      <c r="K24" s="105"/>
      <c r="L24" s="105"/>
      <c r="M24" s="105"/>
      <c r="N24" s="105"/>
    </row>
    <row r="25" customHeight="1" spans="1:14">
      <c r="A25" s="166"/>
      <c r="B25" s="165" t="s">
        <v>58</v>
      </c>
      <c r="C25" s="77" t="s">
        <v>224</v>
      </c>
      <c r="D25" s="76"/>
      <c r="E25" s="78">
        <v>20</v>
      </c>
      <c r="F25" s="79">
        <f t="shared" si="0"/>
        <v>18807.17</v>
      </c>
      <c r="G25" s="77"/>
      <c r="H25" s="158"/>
      <c r="I25" s="105"/>
      <c r="J25" s="158"/>
      <c r="K25" s="158"/>
      <c r="L25" s="77"/>
      <c r="M25" s="158"/>
      <c r="N25" s="158"/>
    </row>
    <row r="26" customHeight="1" spans="1:14">
      <c r="A26" s="166"/>
      <c r="B26" s="165" t="s">
        <v>332</v>
      </c>
      <c r="C26" s="77" t="s">
        <v>210</v>
      </c>
      <c r="D26" s="76"/>
      <c r="E26" s="78">
        <v>185</v>
      </c>
      <c r="F26" s="79">
        <f t="shared" si="0"/>
        <v>18622.17</v>
      </c>
      <c r="G26" s="110"/>
      <c r="H26" s="105"/>
      <c r="I26" s="105"/>
      <c r="J26" s="105"/>
      <c r="K26" s="105"/>
      <c r="L26" s="105"/>
      <c r="M26" s="105"/>
      <c r="N26" s="105"/>
    </row>
    <row r="27" customHeight="1" spans="1:14">
      <c r="A27" s="166"/>
      <c r="B27" s="167" t="s">
        <v>512</v>
      </c>
      <c r="C27" s="168" t="s">
        <v>86</v>
      </c>
      <c r="D27" s="18"/>
      <c r="E27" s="19">
        <v>254</v>
      </c>
      <c r="F27" s="79">
        <f t="shared" si="0"/>
        <v>18368.17</v>
      </c>
      <c r="G27" s="110"/>
      <c r="H27" s="110"/>
      <c r="I27" s="110"/>
      <c r="J27" s="110"/>
      <c r="K27" s="110"/>
      <c r="L27" s="110"/>
      <c r="M27" s="110"/>
      <c r="N27" s="110"/>
    </row>
    <row r="28" customHeight="1" spans="1:14">
      <c r="A28" s="166" t="s">
        <v>513</v>
      </c>
      <c r="B28" s="165" t="s">
        <v>514</v>
      </c>
      <c r="C28" s="77" t="s">
        <v>54</v>
      </c>
      <c r="D28" s="76"/>
      <c r="E28" s="78">
        <v>324</v>
      </c>
      <c r="F28" s="79">
        <f t="shared" si="0"/>
        <v>18044.17</v>
      </c>
      <c r="G28" s="110"/>
      <c r="H28" s="110"/>
      <c r="I28" s="110"/>
      <c r="J28" s="110"/>
      <c r="K28" s="110"/>
      <c r="L28" s="110"/>
      <c r="M28" s="110"/>
      <c r="N28" s="110"/>
    </row>
    <row r="29" customHeight="1" spans="1:14">
      <c r="A29" s="166"/>
      <c r="B29" s="165" t="s">
        <v>38</v>
      </c>
      <c r="C29" s="77" t="s">
        <v>201</v>
      </c>
      <c r="D29" s="76"/>
      <c r="E29" s="78">
        <v>100</v>
      </c>
      <c r="F29" s="79">
        <f t="shared" si="0"/>
        <v>17944.17</v>
      </c>
      <c r="G29" s="158"/>
      <c r="H29" s="158"/>
      <c r="I29" s="158"/>
      <c r="J29" s="158"/>
      <c r="K29" s="158"/>
      <c r="L29" s="158"/>
      <c r="M29" s="158"/>
      <c r="N29" s="158"/>
    </row>
    <row r="30" customHeight="1" spans="1:6">
      <c r="A30" s="166"/>
      <c r="B30" s="191" t="s">
        <v>515</v>
      </c>
      <c r="C30" s="20" t="s">
        <v>224</v>
      </c>
      <c r="D30" s="9"/>
      <c r="E30" s="10">
        <v>549</v>
      </c>
      <c r="F30" s="79">
        <f t="shared" si="0"/>
        <v>17395.17</v>
      </c>
    </row>
    <row r="31" customHeight="1" spans="1:6">
      <c r="A31" s="166" t="s">
        <v>516</v>
      </c>
      <c r="B31" s="165"/>
      <c r="C31" s="77" t="s">
        <v>219</v>
      </c>
      <c r="D31" s="76"/>
      <c r="E31" s="78">
        <v>420</v>
      </c>
      <c r="F31" s="79">
        <f t="shared" si="0"/>
        <v>16975.17</v>
      </c>
    </row>
    <row r="32" customHeight="1" spans="1:14">
      <c r="A32" s="166" t="s">
        <v>517</v>
      </c>
      <c r="B32" s="165" t="s">
        <v>518</v>
      </c>
      <c r="C32" s="77"/>
      <c r="D32" s="76">
        <v>220</v>
      </c>
      <c r="E32" s="78"/>
      <c r="F32" s="79">
        <f t="shared" si="0"/>
        <v>17195.17</v>
      </c>
      <c r="G32" s="158"/>
      <c r="H32" s="158"/>
      <c r="I32" s="158"/>
      <c r="J32" s="158"/>
      <c r="K32" s="158"/>
      <c r="L32" s="158"/>
      <c r="M32" s="158"/>
      <c r="N32" s="158"/>
    </row>
    <row r="33" customHeight="1" spans="1:14">
      <c r="A33" s="166"/>
      <c r="B33" s="165" t="s">
        <v>519</v>
      </c>
      <c r="C33" s="77" t="s">
        <v>27</v>
      </c>
      <c r="D33" s="76"/>
      <c r="E33" s="78">
        <v>150</v>
      </c>
      <c r="F33" s="79">
        <f t="shared" si="0"/>
        <v>17045.17</v>
      </c>
      <c r="G33" s="77"/>
      <c r="H33" s="77"/>
      <c r="I33" s="77"/>
      <c r="J33" s="77"/>
      <c r="K33" s="77"/>
      <c r="L33" s="77"/>
      <c r="M33" s="77"/>
      <c r="N33" s="77"/>
    </row>
    <row r="34" customHeight="1" spans="1:14">
      <c r="A34" s="166"/>
      <c r="B34" s="165" t="s">
        <v>214</v>
      </c>
      <c r="C34" s="77" t="s">
        <v>219</v>
      </c>
      <c r="D34" s="76"/>
      <c r="E34" s="78">
        <v>230</v>
      </c>
      <c r="F34" s="79">
        <f t="shared" si="0"/>
        <v>16815.17</v>
      </c>
      <c r="G34" s="158"/>
      <c r="H34" s="158"/>
      <c r="I34" s="158"/>
      <c r="J34" s="158"/>
      <c r="K34" s="158"/>
      <c r="L34" s="158"/>
      <c r="M34" s="158"/>
      <c r="N34" s="105"/>
    </row>
    <row r="35" customHeight="1" spans="1:6">
      <c r="A35" s="166"/>
      <c r="B35" s="165" t="s">
        <v>214</v>
      </c>
      <c r="C35" s="77" t="s">
        <v>219</v>
      </c>
      <c r="D35" s="76"/>
      <c r="E35" s="78">
        <v>124</v>
      </c>
      <c r="F35" s="79">
        <f t="shared" si="0"/>
        <v>16691.17</v>
      </c>
    </row>
    <row r="36" customHeight="1" spans="1:6">
      <c r="A36" s="166"/>
      <c r="B36" s="192" t="s">
        <v>520</v>
      </c>
      <c r="C36" s="77"/>
      <c r="D36" s="76"/>
      <c r="E36" s="78">
        <v>1000</v>
      </c>
      <c r="F36" s="79">
        <f t="shared" si="0"/>
        <v>15691.17</v>
      </c>
    </row>
    <row r="37" customHeight="1" spans="1:14">
      <c r="A37" s="179"/>
      <c r="B37" s="165" t="s">
        <v>521</v>
      </c>
      <c r="C37" s="77" t="s">
        <v>224</v>
      </c>
      <c r="D37" s="76"/>
      <c r="E37" s="78">
        <v>70</v>
      </c>
      <c r="F37" s="79">
        <f t="shared" si="0"/>
        <v>15621.17</v>
      </c>
      <c r="G37" s="122"/>
      <c r="H37" s="123"/>
      <c r="I37" s="122"/>
      <c r="J37" s="122"/>
      <c r="K37" s="122"/>
      <c r="L37" s="122"/>
      <c r="M37" s="122"/>
      <c r="N37" s="122"/>
    </row>
    <row r="38" customHeight="1" spans="1:14">
      <c r="A38" s="166"/>
      <c r="B38" s="165" t="s">
        <v>522</v>
      </c>
      <c r="C38" s="77" t="s">
        <v>210</v>
      </c>
      <c r="D38" s="76"/>
      <c r="E38" s="78">
        <v>205</v>
      </c>
      <c r="F38" s="79">
        <f t="shared" si="0"/>
        <v>15416.17</v>
      </c>
      <c r="H38" s="158"/>
      <c r="I38" s="158"/>
      <c r="J38" s="158"/>
      <c r="K38" s="158"/>
      <c r="L38" s="158"/>
      <c r="M38" s="158"/>
      <c r="N38" s="158"/>
    </row>
    <row r="39" customHeight="1" spans="1:14">
      <c r="A39" s="166"/>
      <c r="B39" s="165" t="s">
        <v>523</v>
      </c>
      <c r="C39" s="77" t="s">
        <v>86</v>
      </c>
      <c r="D39" s="76"/>
      <c r="E39" s="78">
        <v>241</v>
      </c>
      <c r="F39" s="79">
        <f t="shared" si="0"/>
        <v>15175.17</v>
      </c>
      <c r="G39" s="158"/>
      <c r="H39" s="158"/>
      <c r="I39" s="158"/>
      <c r="J39" s="158"/>
      <c r="K39" s="158"/>
      <c r="L39" s="158"/>
      <c r="M39" s="158"/>
      <c r="N39" s="158"/>
    </row>
    <row r="40" customHeight="1" spans="1:6">
      <c r="A40" s="166" t="s">
        <v>524</v>
      </c>
      <c r="B40" s="165" t="s">
        <v>407</v>
      </c>
      <c r="C40" s="77" t="s">
        <v>27</v>
      </c>
      <c r="D40" s="76"/>
      <c r="E40" s="78">
        <v>39</v>
      </c>
      <c r="F40" s="79">
        <f t="shared" si="0"/>
        <v>15136.17</v>
      </c>
    </row>
    <row r="41" customHeight="1" spans="1:6">
      <c r="A41" s="166"/>
      <c r="B41" s="165" t="s">
        <v>525</v>
      </c>
      <c r="C41" s="77" t="s">
        <v>27</v>
      </c>
      <c r="D41" s="76"/>
      <c r="E41" s="78">
        <v>44</v>
      </c>
      <c r="F41" s="79">
        <f t="shared" si="0"/>
        <v>15092.17</v>
      </c>
    </row>
    <row r="42" customHeight="1" spans="1:14">
      <c r="A42" s="166"/>
      <c r="B42" s="167" t="s">
        <v>526</v>
      </c>
      <c r="C42" s="168" t="s">
        <v>214</v>
      </c>
      <c r="D42" s="18"/>
      <c r="E42" s="19">
        <v>856</v>
      </c>
      <c r="F42" s="79">
        <f t="shared" si="0"/>
        <v>14236.17</v>
      </c>
      <c r="G42" s="77">
        <f>ABS(G43-F43)</f>
        <v>0</v>
      </c>
      <c r="H42" s="77"/>
      <c r="I42" s="77"/>
      <c r="J42" s="77"/>
      <c r="K42" s="77"/>
      <c r="L42" s="77"/>
      <c r="M42" s="77"/>
      <c r="N42" s="77"/>
    </row>
    <row r="43" customHeight="1" spans="1:14">
      <c r="A43" s="166"/>
      <c r="B43" s="187" t="s">
        <v>127</v>
      </c>
      <c r="C43" s="77"/>
      <c r="D43" s="76">
        <v>40</v>
      </c>
      <c r="E43" s="78"/>
      <c r="F43" s="79">
        <f t="shared" si="0"/>
        <v>14276.17</v>
      </c>
      <c r="G43" s="79">
        <f>H43+I43+J43+K43+L43+M43+N43</f>
        <v>14276.17</v>
      </c>
      <c r="H43" s="77">
        <v>0</v>
      </c>
      <c r="I43" s="77">
        <v>9128.65</v>
      </c>
      <c r="J43" s="77">
        <v>0</v>
      </c>
      <c r="K43" s="77">
        <v>0</v>
      </c>
      <c r="L43" s="77">
        <v>5044.52</v>
      </c>
      <c r="M43" s="77">
        <v>0</v>
      </c>
      <c r="N43" s="77">
        <f>90+13</f>
        <v>103</v>
      </c>
    </row>
    <row r="44" customHeight="1" spans="1:14">
      <c r="A44" s="166" t="s">
        <v>527</v>
      </c>
      <c r="B44" s="175" t="s">
        <v>528</v>
      </c>
      <c r="C44" s="176" t="s">
        <v>27</v>
      </c>
      <c r="D44" s="97"/>
      <c r="E44" s="98">
        <v>5107.44</v>
      </c>
      <c r="F44" s="79">
        <f t="shared" si="0"/>
        <v>9168.73</v>
      </c>
      <c r="G44" s="28"/>
      <c r="H44" s="28"/>
      <c r="I44" s="28"/>
      <c r="J44" s="28"/>
      <c r="K44" s="28"/>
      <c r="L44" s="28"/>
      <c r="M44" s="28"/>
      <c r="N44" s="28"/>
    </row>
    <row r="45" customHeight="1" spans="1:14">
      <c r="A45" s="190"/>
      <c r="B45" s="191" t="s">
        <v>407</v>
      </c>
      <c r="C45" s="20" t="s">
        <v>27</v>
      </c>
      <c r="D45" s="9"/>
      <c r="E45" s="10">
        <v>65</v>
      </c>
      <c r="F45" s="79">
        <f t="shared" si="0"/>
        <v>9103.73</v>
      </c>
      <c r="G45" s="110"/>
      <c r="H45" s="110"/>
      <c r="I45" s="59"/>
      <c r="J45" s="110"/>
      <c r="K45" s="110"/>
      <c r="L45" s="110"/>
      <c r="M45" s="110"/>
      <c r="N45" s="110"/>
    </row>
    <row r="46" customHeight="1" spans="1:14">
      <c r="A46" s="166" t="s">
        <v>529</v>
      </c>
      <c r="B46" s="167" t="s">
        <v>530</v>
      </c>
      <c r="C46" s="168" t="s">
        <v>224</v>
      </c>
      <c r="D46" s="18"/>
      <c r="E46" s="19">
        <v>63</v>
      </c>
      <c r="F46" s="79">
        <f t="shared" si="0"/>
        <v>9040.73</v>
      </c>
      <c r="G46" s="110"/>
      <c r="H46" s="110"/>
      <c r="I46" s="59"/>
      <c r="J46" s="110"/>
      <c r="K46" s="110"/>
      <c r="L46" s="110"/>
      <c r="M46" s="110"/>
      <c r="N46" s="110"/>
    </row>
    <row r="47" customHeight="1" spans="1:14">
      <c r="A47" s="166"/>
      <c r="B47" s="165" t="s">
        <v>531</v>
      </c>
      <c r="C47" s="77" t="s">
        <v>224</v>
      </c>
      <c r="D47" s="76"/>
      <c r="E47" s="78">
        <v>30</v>
      </c>
      <c r="F47" s="79">
        <f t="shared" si="0"/>
        <v>9010.73</v>
      </c>
      <c r="G47" s="158"/>
      <c r="H47" s="158"/>
      <c r="I47" s="158"/>
      <c r="J47" s="158"/>
      <c r="K47" s="158"/>
      <c r="L47" s="158"/>
      <c r="M47" s="158"/>
      <c r="N47" s="158"/>
    </row>
    <row r="48" customHeight="1" spans="1:14">
      <c r="A48" s="166" t="s">
        <v>532</v>
      </c>
      <c r="B48" s="165" t="s">
        <v>533</v>
      </c>
      <c r="C48" s="77" t="s">
        <v>27</v>
      </c>
      <c r="D48" s="76"/>
      <c r="E48" s="78">
        <v>854.2</v>
      </c>
      <c r="F48" s="79">
        <f t="shared" si="0"/>
        <v>8156.53</v>
      </c>
      <c r="G48" s="110"/>
      <c r="H48" s="105"/>
      <c r="I48" s="105"/>
      <c r="J48" s="105"/>
      <c r="K48" s="105"/>
      <c r="L48" s="105"/>
      <c r="M48" s="105"/>
      <c r="N48" s="105"/>
    </row>
    <row r="49" customHeight="1" spans="1:14">
      <c r="A49" s="166"/>
      <c r="B49" s="165"/>
      <c r="C49" s="77" t="s">
        <v>219</v>
      </c>
      <c r="D49" s="76"/>
      <c r="E49" s="78">
        <v>20</v>
      </c>
      <c r="F49" s="79">
        <f t="shared" si="0"/>
        <v>8136.53</v>
      </c>
      <c r="G49" s="118"/>
      <c r="H49" s="110"/>
      <c r="I49" s="110"/>
      <c r="J49" s="110"/>
      <c r="K49" s="110"/>
      <c r="L49" s="110"/>
      <c r="M49" s="110"/>
      <c r="N49" s="110"/>
    </row>
    <row r="50" customHeight="1" spans="1:14">
      <c r="A50" s="166" t="s">
        <v>534</v>
      </c>
      <c r="B50" s="165" t="s">
        <v>17</v>
      </c>
      <c r="C50" s="77" t="s">
        <v>86</v>
      </c>
      <c r="D50" s="76"/>
      <c r="E50" s="78">
        <v>530</v>
      </c>
      <c r="F50" s="79">
        <f t="shared" si="0"/>
        <v>7606.53</v>
      </c>
      <c r="G50" s="158"/>
      <c r="H50" s="77"/>
      <c r="I50" s="77"/>
      <c r="J50" s="77"/>
      <c r="K50" s="77"/>
      <c r="L50" s="158"/>
      <c r="M50" s="77"/>
      <c r="N50" s="158"/>
    </row>
    <row r="51" customHeight="1" spans="1:14">
      <c r="A51" s="166"/>
      <c r="B51" s="165" t="s">
        <v>459</v>
      </c>
      <c r="C51" s="77"/>
      <c r="D51" s="76">
        <v>500</v>
      </c>
      <c r="E51" s="78"/>
      <c r="F51" s="79">
        <f t="shared" si="0"/>
        <v>8106.53</v>
      </c>
      <c r="G51" s="77">
        <f>ABS(G52-F52)</f>
        <v>0</v>
      </c>
      <c r="H51" s="77"/>
      <c r="I51" s="77"/>
      <c r="J51" s="77"/>
      <c r="K51" s="77"/>
      <c r="L51" s="77"/>
      <c r="M51" s="77"/>
      <c r="N51" s="77"/>
    </row>
    <row r="52" customHeight="1" spans="1:14">
      <c r="A52" s="166"/>
      <c r="B52" s="165" t="s">
        <v>38</v>
      </c>
      <c r="C52" s="77" t="s">
        <v>201</v>
      </c>
      <c r="D52" s="76"/>
      <c r="E52" s="78">
        <v>100</v>
      </c>
      <c r="F52" s="79">
        <f t="shared" si="0"/>
        <v>8006.53</v>
      </c>
      <c r="G52" s="79">
        <f>H52+I52+J52+K52+L52+M52+N52</f>
        <v>8006.53</v>
      </c>
      <c r="H52" s="77">
        <v>0</v>
      </c>
      <c r="I52" s="77">
        <v>3958.21</v>
      </c>
      <c r="J52" s="77">
        <v>0</v>
      </c>
      <c r="K52" s="77">
        <v>0</v>
      </c>
      <c r="L52" s="77">
        <v>3565.32</v>
      </c>
      <c r="M52" s="77">
        <v>0</v>
      </c>
      <c r="N52" s="77">
        <f>400+70+13</f>
        <v>483</v>
      </c>
    </row>
    <row r="53" customHeight="1" spans="1:14">
      <c r="A53" s="169" t="s">
        <v>535</v>
      </c>
      <c r="B53" s="170"/>
      <c r="C53" s="86" t="s">
        <v>219</v>
      </c>
      <c r="D53" s="83"/>
      <c r="E53" s="84">
        <v>200</v>
      </c>
      <c r="F53" s="85">
        <f t="shared" si="0"/>
        <v>7806.53</v>
      </c>
      <c r="G53" s="28"/>
      <c r="H53" s="28"/>
      <c r="I53" s="28"/>
      <c r="J53" s="28"/>
      <c r="K53" s="28"/>
      <c r="L53" s="28"/>
      <c r="M53" s="28"/>
      <c r="N53" s="112"/>
    </row>
    <row r="54" customHeight="1" spans="1:14">
      <c r="A54" s="166"/>
      <c r="B54" s="165" t="s">
        <v>536</v>
      </c>
      <c r="C54" s="77" t="s">
        <v>27</v>
      </c>
      <c r="D54" s="76"/>
      <c r="E54" s="78">
        <v>140</v>
      </c>
      <c r="F54" s="79">
        <f t="shared" si="0"/>
        <v>7666.53</v>
      </c>
      <c r="G54" s="158"/>
      <c r="H54" s="158"/>
      <c r="I54" s="158"/>
      <c r="J54" s="158"/>
      <c r="K54" s="158"/>
      <c r="L54" s="158"/>
      <c r="M54" s="158"/>
      <c r="N54" s="158"/>
    </row>
    <row r="55" customHeight="1" spans="1:14">
      <c r="A55" s="166"/>
      <c r="B55" s="165" t="s">
        <v>537</v>
      </c>
      <c r="C55" s="77" t="s">
        <v>27</v>
      </c>
      <c r="D55" s="76"/>
      <c r="E55" s="78">
        <v>465.08</v>
      </c>
      <c r="F55" s="79">
        <f t="shared" si="0"/>
        <v>7201.45</v>
      </c>
      <c r="G55" s="110"/>
      <c r="H55" s="105"/>
      <c r="I55" s="105"/>
      <c r="J55" s="105"/>
      <c r="K55" s="105"/>
      <c r="L55" s="105"/>
      <c r="M55" s="105"/>
      <c r="N55" s="105"/>
    </row>
    <row r="56" customHeight="1" spans="1:14">
      <c r="A56" s="166"/>
      <c r="B56" s="165" t="s">
        <v>538</v>
      </c>
      <c r="C56" s="77" t="s">
        <v>224</v>
      </c>
      <c r="D56" s="76"/>
      <c r="E56" s="78">
        <v>188</v>
      </c>
      <c r="F56" s="79">
        <f t="shared" si="0"/>
        <v>7013.45</v>
      </c>
      <c r="G56" s="110"/>
      <c r="H56" s="105"/>
      <c r="I56" s="105"/>
      <c r="J56" s="105"/>
      <c r="K56" s="105"/>
      <c r="L56" s="105"/>
      <c r="M56" s="105"/>
      <c r="N56" s="105"/>
    </row>
    <row r="57" customHeight="1" spans="1:14">
      <c r="A57" s="166" t="s">
        <v>539</v>
      </c>
      <c r="B57" s="165" t="s">
        <v>540</v>
      </c>
      <c r="C57" s="77" t="s">
        <v>27</v>
      </c>
      <c r="D57" s="76"/>
      <c r="E57" s="78">
        <v>356</v>
      </c>
      <c r="F57" s="79">
        <f t="shared" si="0"/>
        <v>6657.45</v>
      </c>
      <c r="G57" s="110"/>
      <c r="H57" s="105"/>
      <c r="I57" s="105"/>
      <c r="J57" s="105"/>
      <c r="K57" s="105"/>
      <c r="L57" s="105"/>
      <c r="M57" s="105"/>
      <c r="N57" s="105"/>
    </row>
    <row r="58" customHeight="1" spans="1:14">
      <c r="A58" s="166"/>
      <c r="B58" s="165" t="s">
        <v>536</v>
      </c>
      <c r="C58" s="77" t="s">
        <v>27</v>
      </c>
      <c r="D58" s="76"/>
      <c r="E58" s="78">
        <v>70</v>
      </c>
      <c r="F58" s="79">
        <f t="shared" si="0"/>
        <v>6587.45</v>
      </c>
      <c r="G58" s="77">
        <f>ABS(G59-F59)</f>
        <v>0</v>
      </c>
      <c r="H58" s="77"/>
      <c r="I58" s="77"/>
      <c r="J58" s="77"/>
      <c r="K58" s="77"/>
      <c r="L58" s="77"/>
      <c r="M58" s="77"/>
      <c r="N58" s="77"/>
    </row>
    <row r="59" customHeight="1" spans="1:14">
      <c r="A59" s="166"/>
      <c r="B59" s="165" t="s">
        <v>531</v>
      </c>
      <c r="C59" s="77" t="s">
        <v>224</v>
      </c>
      <c r="D59" s="76"/>
      <c r="E59" s="78">
        <v>20</v>
      </c>
      <c r="F59" s="79">
        <f t="shared" si="0"/>
        <v>6567.45</v>
      </c>
      <c r="G59" s="79">
        <f>H59+I59+J59+K59+L59+M59+N59</f>
        <v>6567.45</v>
      </c>
      <c r="H59" s="77">
        <v>0</v>
      </c>
      <c r="I59" s="77">
        <v>3493.13</v>
      </c>
      <c r="J59" s="77">
        <v>0</v>
      </c>
      <c r="K59" s="77">
        <v>0</v>
      </c>
      <c r="L59" s="77">
        <v>2601.32</v>
      </c>
      <c r="M59" s="77">
        <v>0</v>
      </c>
      <c r="N59" s="77">
        <f>473</f>
        <v>473</v>
      </c>
    </row>
    <row r="60" customHeight="1" spans="1:14">
      <c r="A60" s="169" t="s">
        <v>541</v>
      </c>
      <c r="B60" s="175" t="s">
        <v>542</v>
      </c>
      <c r="C60" s="176" t="s">
        <v>214</v>
      </c>
      <c r="D60" s="97"/>
      <c r="E60" s="98">
        <v>75</v>
      </c>
      <c r="F60" s="85">
        <f t="shared" si="0"/>
        <v>6492.45</v>
      </c>
      <c r="G60" s="28"/>
      <c r="H60" s="28"/>
      <c r="I60" s="28"/>
      <c r="J60" s="28"/>
      <c r="K60" s="28"/>
      <c r="L60" s="28"/>
      <c r="M60" s="28"/>
      <c r="N60" s="112"/>
    </row>
    <row r="61" customHeight="1" spans="1:14">
      <c r="A61" s="166"/>
      <c r="B61" s="165" t="s">
        <v>543</v>
      </c>
      <c r="C61" s="77" t="s">
        <v>245</v>
      </c>
      <c r="D61" s="76"/>
      <c r="E61" s="78">
        <v>515</v>
      </c>
      <c r="F61" s="79">
        <f t="shared" si="0"/>
        <v>5977.45</v>
      </c>
      <c r="G61" s="118"/>
      <c r="H61" s="110"/>
      <c r="I61" s="110"/>
      <c r="J61" s="59"/>
      <c r="K61" s="110"/>
      <c r="L61" s="110"/>
      <c r="M61" s="110"/>
      <c r="N61" s="110"/>
    </row>
    <row r="62" customHeight="1" spans="1:14">
      <c r="A62" s="166"/>
      <c r="B62" s="165" t="s">
        <v>544</v>
      </c>
      <c r="C62" s="77" t="s">
        <v>201</v>
      </c>
      <c r="D62" s="76"/>
      <c r="E62" s="78">
        <v>210</v>
      </c>
      <c r="F62" s="79">
        <f t="shared" si="0"/>
        <v>5767.45</v>
      </c>
      <c r="G62" s="77">
        <f>ABS(G63-F68)</f>
        <v>932.749999999996</v>
      </c>
      <c r="H62" s="77"/>
      <c r="I62" s="77"/>
      <c r="J62" s="77"/>
      <c r="K62" s="77"/>
      <c r="L62" s="77"/>
      <c r="M62" s="77"/>
      <c r="N62" s="77"/>
    </row>
    <row r="63" customHeight="1" spans="1:14">
      <c r="A63" s="166"/>
      <c r="B63" s="165" t="s">
        <v>545</v>
      </c>
      <c r="C63" s="77" t="s">
        <v>224</v>
      </c>
      <c r="D63" s="76"/>
      <c r="E63" s="78">
        <v>60</v>
      </c>
      <c r="F63" s="79">
        <f t="shared" si="0"/>
        <v>5707.45</v>
      </c>
      <c r="G63" s="79">
        <f>H63+I63+J63+K63+L63+M63+N63</f>
        <v>5707.45</v>
      </c>
      <c r="H63" s="77">
        <v>0</v>
      </c>
      <c r="I63" s="77">
        <f>3493.13-75</f>
        <v>3418.13</v>
      </c>
      <c r="J63" s="77">
        <v>0</v>
      </c>
      <c r="K63" s="77">
        <v>0</v>
      </c>
      <c r="L63" s="77">
        <v>1886.32</v>
      </c>
      <c r="M63" s="77">
        <v>0</v>
      </c>
      <c r="N63" s="77">
        <f>403</f>
        <v>403</v>
      </c>
    </row>
    <row r="64" customHeight="1" spans="1:14">
      <c r="A64" s="184" t="s">
        <v>546</v>
      </c>
      <c r="B64" s="175" t="s">
        <v>547</v>
      </c>
      <c r="C64" s="176" t="s">
        <v>27</v>
      </c>
      <c r="D64" s="97"/>
      <c r="E64" s="98">
        <f>700.75-E65</f>
        <v>201.75</v>
      </c>
      <c r="F64" s="85">
        <f t="shared" si="0"/>
        <v>5505.7</v>
      </c>
      <c r="G64" s="111"/>
      <c r="H64" s="111"/>
      <c r="I64" s="111"/>
      <c r="J64" s="188"/>
      <c r="K64" s="111"/>
      <c r="L64" s="111"/>
      <c r="M64" s="111"/>
      <c r="N64" s="111"/>
    </row>
    <row r="65" customHeight="1" spans="1:14">
      <c r="A65" s="183"/>
      <c r="B65" s="167" t="s">
        <v>548</v>
      </c>
      <c r="C65" s="168" t="s">
        <v>245</v>
      </c>
      <c r="D65" s="18"/>
      <c r="E65" s="19">
        <f>288+211</f>
        <v>499</v>
      </c>
      <c r="F65" s="79">
        <f t="shared" si="0"/>
        <v>5006.7</v>
      </c>
      <c r="G65" s="158"/>
      <c r="H65" s="158"/>
      <c r="I65" s="158"/>
      <c r="J65" s="158"/>
      <c r="K65" s="158"/>
      <c r="L65" s="158"/>
      <c r="M65" s="158"/>
      <c r="N65" s="158"/>
    </row>
    <row r="66" customHeight="1" spans="1:14">
      <c r="A66" s="183"/>
      <c r="B66" s="165" t="s">
        <v>549</v>
      </c>
      <c r="C66" s="77" t="s">
        <v>86</v>
      </c>
      <c r="D66" s="76"/>
      <c r="E66" s="78">
        <v>5</v>
      </c>
      <c r="F66" s="79">
        <f t="shared" si="0"/>
        <v>5001.7</v>
      </c>
      <c r="G66" s="158"/>
      <c r="H66" s="158"/>
      <c r="I66" s="158"/>
      <c r="J66" s="158"/>
      <c r="K66" s="158"/>
      <c r="L66" s="158"/>
      <c r="M66" s="158"/>
      <c r="N66" s="158"/>
    </row>
    <row r="67" customHeight="1" spans="1:6">
      <c r="A67" s="183" t="s">
        <v>550</v>
      </c>
      <c r="B67" s="167" t="s">
        <v>551</v>
      </c>
      <c r="C67" s="168" t="s">
        <v>224</v>
      </c>
      <c r="D67" s="18"/>
      <c r="E67" s="19">
        <v>207</v>
      </c>
      <c r="F67" s="79">
        <f t="shared" si="0"/>
        <v>4794.7</v>
      </c>
    </row>
    <row r="68" customHeight="1" spans="1:6">
      <c r="A68" s="183"/>
      <c r="B68" s="165" t="s">
        <v>552</v>
      </c>
      <c r="C68" s="77" t="s">
        <v>224</v>
      </c>
      <c r="D68" s="76"/>
      <c r="E68" s="78">
        <v>20</v>
      </c>
      <c r="F68" s="79">
        <f t="shared" si="0"/>
        <v>4774.7</v>
      </c>
    </row>
    <row r="69" customHeight="1" spans="1:14">
      <c r="A69" s="183" t="s">
        <v>553</v>
      </c>
      <c r="B69" s="165" t="s">
        <v>554</v>
      </c>
      <c r="C69" s="77" t="s">
        <v>27</v>
      </c>
      <c r="D69" s="76"/>
      <c r="E69" s="78">
        <v>301.64</v>
      </c>
      <c r="F69" s="79">
        <f t="shared" si="0"/>
        <v>4473.06</v>
      </c>
      <c r="G69" s="118"/>
      <c r="H69" s="158"/>
      <c r="I69" s="158"/>
      <c r="J69" s="158"/>
      <c r="K69" s="158"/>
      <c r="L69" s="158"/>
      <c r="M69" s="158"/>
      <c r="N69" s="158"/>
    </row>
    <row r="70" customHeight="1" spans="1:6">
      <c r="A70" s="183"/>
      <c r="B70" s="165" t="s">
        <v>555</v>
      </c>
      <c r="C70" s="77" t="s">
        <v>27</v>
      </c>
      <c r="D70" s="76"/>
      <c r="E70" s="78">
        <v>502.15</v>
      </c>
      <c r="F70" s="79">
        <f t="shared" si="0"/>
        <v>3970.91</v>
      </c>
    </row>
    <row r="71" customHeight="1" spans="1:14">
      <c r="A71" s="183" t="s">
        <v>556</v>
      </c>
      <c r="B71" s="165" t="s">
        <v>557</v>
      </c>
      <c r="C71" s="77" t="s">
        <v>86</v>
      </c>
      <c r="D71" s="76"/>
      <c r="E71" s="78">
        <v>245</v>
      </c>
      <c r="F71" s="79">
        <f t="shared" si="0"/>
        <v>3725.91</v>
      </c>
      <c r="G71" s="77"/>
      <c r="H71" s="77"/>
      <c r="I71" s="77"/>
      <c r="J71" s="77"/>
      <c r="K71" s="77"/>
      <c r="L71" s="77"/>
      <c r="M71" s="77"/>
      <c r="N71" s="77"/>
    </row>
    <row r="72" customHeight="1" spans="1:14">
      <c r="A72" s="183"/>
      <c r="B72" s="165"/>
      <c r="C72" s="77" t="s">
        <v>219</v>
      </c>
      <c r="D72" s="76"/>
      <c r="E72" s="78">
        <v>200</v>
      </c>
      <c r="F72" s="79">
        <f t="shared" si="0"/>
        <v>3525.91</v>
      </c>
      <c r="G72" s="79">
        <f>H72+I72+J72+K72+L72+M72+N72</f>
        <v>3525.91</v>
      </c>
      <c r="H72" s="77">
        <v>0</v>
      </c>
      <c r="I72" s="77">
        <v>1510.38</v>
      </c>
      <c r="J72" s="77">
        <v>0</v>
      </c>
      <c r="K72" s="77">
        <v>0</v>
      </c>
      <c r="L72" s="77">
        <v>1812.53</v>
      </c>
      <c r="M72" s="77">
        <v>0</v>
      </c>
      <c r="N72" s="77">
        <f>203</f>
        <v>203</v>
      </c>
    </row>
    <row r="73" customHeight="1" spans="1:14">
      <c r="A73" s="184" t="s">
        <v>558</v>
      </c>
      <c r="B73" s="170" t="s">
        <v>45</v>
      </c>
      <c r="C73" s="86" t="s">
        <v>27</v>
      </c>
      <c r="D73" s="83"/>
      <c r="E73" s="84">
        <v>60</v>
      </c>
      <c r="F73" s="79">
        <f t="shared" si="0"/>
        <v>3465.91</v>
      </c>
      <c r="G73" s="193"/>
      <c r="H73" s="194"/>
      <c r="I73" s="194"/>
      <c r="J73" s="194"/>
      <c r="K73" s="194"/>
      <c r="L73" s="194"/>
      <c r="M73" s="194"/>
      <c r="N73" s="194"/>
    </row>
    <row r="74" customHeight="1" spans="1:14">
      <c r="A74" s="183"/>
      <c r="B74" s="165" t="s">
        <v>106</v>
      </c>
      <c r="C74" s="77" t="s">
        <v>27</v>
      </c>
      <c r="D74" s="76"/>
      <c r="E74" s="78">
        <v>38</v>
      </c>
      <c r="F74" s="79">
        <f t="shared" si="0"/>
        <v>3427.91</v>
      </c>
      <c r="G74" s="122"/>
      <c r="H74" s="123"/>
      <c r="I74" s="122"/>
      <c r="J74" s="122"/>
      <c r="K74" s="122"/>
      <c r="L74" s="122"/>
      <c r="M74" s="122"/>
      <c r="N74" s="122"/>
    </row>
    <row r="75" customHeight="1" spans="1:14">
      <c r="A75" s="183"/>
      <c r="B75" s="165" t="s">
        <v>559</v>
      </c>
      <c r="C75" s="77" t="s">
        <v>245</v>
      </c>
      <c r="D75" s="76"/>
      <c r="E75" s="78">
        <v>785</v>
      </c>
      <c r="F75" s="79">
        <f t="shared" si="0"/>
        <v>2642.91</v>
      </c>
      <c r="G75" s="158"/>
      <c r="H75" s="158"/>
      <c r="I75" s="158"/>
      <c r="J75" s="158"/>
      <c r="K75" s="158"/>
      <c r="L75" s="158"/>
      <c r="M75" s="158"/>
      <c r="N75" s="158"/>
    </row>
    <row r="76" customHeight="1" spans="1:14">
      <c r="A76" s="183" t="s">
        <v>560</v>
      </c>
      <c r="B76" s="165" t="s">
        <v>561</v>
      </c>
      <c r="C76" s="77" t="s">
        <v>27</v>
      </c>
      <c r="D76" s="76"/>
      <c r="E76" s="78">
        <v>248.19</v>
      </c>
      <c r="F76" s="79">
        <f t="shared" si="0"/>
        <v>2394.72</v>
      </c>
      <c r="G76" s="158"/>
      <c r="H76" s="158"/>
      <c r="I76" s="158"/>
      <c r="J76" s="158"/>
      <c r="K76" s="158"/>
      <c r="L76" s="158"/>
      <c r="M76" s="158"/>
      <c r="N76" s="158"/>
    </row>
    <row r="77" customHeight="1" spans="1:14">
      <c r="A77" s="179"/>
      <c r="B77" s="165" t="s">
        <v>562</v>
      </c>
      <c r="C77" s="77" t="s">
        <v>245</v>
      </c>
      <c r="D77" s="76"/>
      <c r="E77" s="78">
        <v>515</v>
      </c>
      <c r="F77" s="79">
        <f t="shared" si="0"/>
        <v>1879.72</v>
      </c>
      <c r="G77" s="158"/>
      <c r="H77" s="158"/>
      <c r="I77" s="158"/>
      <c r="J77" s="158"/>
      <c r="K77" s="158"/>
      <c r="L77" s="158"/>
      <c r="M77" s="158"/>
      <c r="N77" s="158"/>
    </row>
    <row r="78" customHeight="1" spans="1:14">
      <c r="A78" s="183"/>
      <c r="B78" s="165" t="s">
        <v>407</v>
      </c>
      <c r="C78" s="77" t="s">
        <v>27</v>
      </c>
      <c r="D78" s="76"/>
      <c r="E78" s="78">
        <v>55</v>
      </c>
      <c r="F78" s="79">
        <f t="shared" si="0"/>
        <v>1824.72</v>
      </c>
      <c r="G78" s="110"/>
      <c r="H78" s="110"/>
      <c r="I78" s="110"/>
      <c r="J78" s="110"/>
      <c r="K78" s="110"/>
      <c r="L78" s="110"/>
      <c r="M78" s="110"/>
      <c r="N78" s="110"/>
    </row>
    <row r="79" customHeight="1" spans="1:14">
      <c r="A79" s="183"/>
      <c r="B79" s="165" t="s">
        <v>364</v>
      </c>
      <c r="C79" s="77" t="s">
        <v>86</v>
      </c>
      <c r="D79" s="76"/>
      <c r="E79" s="78">
        <v>20</v>
      </c>
      <c r="F79" s="79">
        <f t="shared" si="0"/>
        <v>1804.72</v>
      </c>
      <c r="G79" s="77"/>
      <c r="H79" s="77"/>
      <c r="I79" s="77"/>
      <c r="J79" s="77"/>
      <c r="K79" s="77"/>
      <c r="L79" s="77"/>
      <c r="M79" s="77"/>
      <c r="N79" s="77"/>
    </row>
    <row r="80" customHeight="1" spans="1:14">
      <c r="A80" s="195"/>
      <c r="B80" s="167" t="s">
        <v>563</v>
      </c>
      <c r="C80" s="168" t="s">
        <v>224</v>
      </c>
      <c r="D80" s="18"/>
      <c r="E80" s="19">
        <v>129.44</v>
      </c>
      <c r="F80" s="79">
        <f t="shared" si="0"/>
        <v>1675.28</v>
      </c>
      <c r="G80" s="79">
        <f>F81-G81</f>
        <v>0</v>
      </c>
      <c r="H80" s="168"/>
      <c r="I80" s="168"/>
      <c r="J80" s="168"/>
      <c r="K80" s="168"/>
      <c r="L80" s="168"/>
      <c r="M80" s="168"/>
      <c r="N80" s="168"/>
    </row>
    <row r="81" customHeight="1" spans="2:14">
      <c r="B81" s="165" t="s">
        <v>564</v>
      </c>
      <c r="C81" s="77"/>
      <c r="D81" s="76">
        <v>1500</v>
      </c>
      <c r="E81" s="78"/>
      <c r="F81" s="79">
        <f t="shared" si="0"/>
        <v>3175.28</v>
      </c>
      <c r="G81" s="79">
        <f>H81+I81+J81+K81+L81+M81+N81</f>
        <v>3175.28</v>
      </c>
      <c r="H81" s="77">
        <v>0</v>
      </c>
      <c r="I81" s="77">
        <f>1510.38-129.44</f>
        <v>1380.94</v>
      </c>
      <c r="J81" s="77">
        <v>0</v>
      </c>
      <c r="K81" s="77">
        <v>0</v>
      </c>
      <c r="L81" s="77">
        <f>1000+146.34</f>
        <v>1146.34</v>
      </c>
      <c r="M81" s="77">
        <v>0</v>
      </c>
      <c r="N81" s="77">
        <f>600+40+8</f>
        <v>648</v>
      </c>
    </row>
    <row r="82" customHeight="1" spans="1:14">
      <c r="A82" s="184"/>
      <c r="B82" s="170" t="s">
        <v>565</v>
      </c>
      <c r="C82" s="86"/>
      <c r="D82" s="83">
        <v>3146</v>
      </c>
      <c r="E82" s="84"/>
      <c r="F82" s="79">
        <f t="shared" si="0"/>
        <v>6321.28</v>
      </c>
      <c r="G82" s="196"/>
      <c r="H82" s="197"/>
      <c r="I82" s="196"/>
      <c r="J82" s="196"/>
      <c r="K82" s="196"/>
      <c r="L82" s="196"/>
      <c r="M82" s="196"/>
      <c r="N82" s="28"/>
    </row>
    <row r="83" customHeight="1" spans="1:14">
      <c r="A83" s="183" t="s">
        <v>566</v>
      </c>
      <c r="B83" s="165" t="s">
        <v>567</v>
      </c>
      <c r="C83" s="77" t="s">
        <v>224</v>
      </c>
      <c r="D83" s="76"/>
      <c r="E83" s="78">
        <v>100</v>
      </c>
      <c r="F83" s="79">
        <f t="shared" si="0"/>
        <v>6221.28</v>
      </c>
      <c r="G83" s="122"/>
      <c r="H83" s="123"/>
      <c r="I83" s="122"/>
      <c r="J83" s="122"/>
      <c r="K83" s="122"/>
      <c r="L83" s="122"/>
      <c r="M83" s="122"/>
      <c r="N83" s="158"/>
    </row>
    <row r="84" customHeight="1" spans="1:14">
      <c r="A84" s="183"/>
      <c r="B84" s="165" t="s">
        <v>568</v>
      </c>
      <c r="C84" s="77" t="s">
        <v>27</v>
      </c>
      <c r="D84" s="76"/>
      <c r="E84" s="78">
        <v>199</v>
      </c>
      <c r="F84" s="79">
        <f t="shared" si="0"/>
        <v>6022.28</v>
      </c>
      <c r="G84" s="110"/>
      <c r="H84" s="110"/>
      <c r="I84" s="110"/>
      <c r="J84" s="59"/>
      <c r="K84" s="110"/>
      <c r="L84" s="110"/>
      <c r="M84" s="110"/>
      <c r="N84" s="110"/>
    </row>
    <row r="85" customHeight="1" spans="1:14">
      <c r="A85" s="183"/>
      <c r="B85" s="167" t="s">
        <v>563</v>
      </c>
      <c r="C85" s="168" t="s">
        <v>224</v>
      </c>
      <c r="D85" s="18"/>
      <c r="E85" s="19">
        <v>128.83</v>
      </c>
      <c r="F85" s="79">
        <f t="shared" si="0"/>
        <v>5893.45</v>
      </c>
      <c r="G85" s="124"/>
      <c r="H85" s="125"/>
      <c r="I85" s="125"/>
      <c r="J85" s="125"/>
      <c r="K85" s="125"/>
      <c r="L85" s="125"/>
      <c r="M85" s="125"/>
      <c r="N85" s="124"/>
    </row>
    <row r="86" customHeight="1" spans="1:14">
      <c r="A86" s="183" t="s">
        <v>569</v>
      </c>
      <c r="B86" s="165" t="s">
        <v>570</v>
      </c>
      <c r="C86" s="77" t="s">
        <v>214</v>
      </c>
      <c r="D86" s="76"/>
      <c r="E86" s="78">
        <v>680</v>
      </c>
      <c r="F86" s="79">
        <f t="shared" si="0"/>
        <v>5213.45</v>
      </c>
      <c r="G86" s="124"/>
      <c r="H86" s="125"/>
      <c r="I86" s="125"/>
      <c r="J86" s="125"/>
      <c r="K86" s="125"/>
      <c r="L86" s="125"/>
      <c r="M86" s="125"/>
      <c r="N86" s="124"/>
    </row>
    <row r="87" customHeight="1" spans="1:14">
      <c r="A87" s="183"/>
      <c r="B87" s="165" t="s">
        <v>571</v>
      </c>
      <c r="C87" s="77" t="s">
        <v>27</v>
      </c>
      <c r="D87" s="76"/>
      <c r="E87" s="78">
        <v>813.65</v>
      </c>
      <c r="F87" s="79">
        <f t="shared" si="0"/>
        <v>4399.8</v>
      </c>
      <c r="G87" s="110"/>
      <c r="H87" s="110"/>
      <c r="I87" s="110"/>
      <c r="J87" s="110"/>
      <c r="K87" s="110"/>
      <c r="L87" s="110"/>
      <c r="M87" s="110"/>
      <c r="N87" s="110"/>
    </row>
    <row r="88" customHeight="1" spans="1:14">
      <c r="A88" s="183" t="s">
        <v>572</v>
      </c>
      <c r="B88" s="165" t="s">
        <v>573</v>
      </c>
      <c r="C88" s="77" t="s">
        <v>214</v>
      </c>
      <c r="D88" s="76"/>
      <c r="E88" s="78">
        <v>75</v>
      </c>
      <c r="F88" s="79">
        <f t="shared" si="0"/>
        <v>4324.8</v>
      </c>
      <c r="G88" s="118"/>
      <c r="H88" s="158"/>
      <c r="I88" s="105"/>
      <c r="J88" s="158"/>
      <c r="K88" s="158"/>
      <c r="L88" s="77"/>
      <c r="M88" s="158"/>
      <c r="N88" s="158"/>
    </row>
    <row r="89" customHeight="1" spans="1:14">
      <c r="A89" s="183"/>
      <c r="B89" s="165" t="s">
        <v>574</v>
      </c>
      <c r="C89" s="77" t="s">
        <v>27</v>
      </c>
      <c r="D89" s="76"/>
      <c r="E89" s="78">
        <v>506</v>
      </c>
      <c r="F89" s="79">
        <f t="shared" si="0"/>
        <v>3818.8</v>
      </c>
      <c r="G89" s="110"/>
      <c r="H89" s="105"/>
      <c r="I89" s="105"/>
      <c r="J89" s="105"/>
      <c r="K89" s="105"/>
      <c r="L89" s="105"/>
      <c r="M89" s="105"/>
      <c r="N89" s="105"/>
    </row>
    <row r="90" customHeight="1" spans="1:14">
      <c r="A90" s="183"/>
      <c r="B90" s="165" t="s">
        <v>575</v>
      </c>
      <c r="C90" s="77" t="s">
        <v>86</v>
      </c>
      <c r="D90" s="76"/>
      <c r="E90" s="78">
        <v>331</v>
      </c>
      <c r="F90" s="79">
        <f t="shared" si="0"/>
        <v>3487.8</v>
      </c>
      <c r="G90" s="77"/>
      <c r="H90" s="77"/>
      <c r="I90" s="77"/>
      <c r="J90" s="77"/>
      <c r="K90" s="77"/>
      <c r="L90" s="77"/>
      <c r="M90" s="77"/>
      <c r="N90" s="77"/>
    </row>
    <row r="91" customHeight="1" spans="1:14">
      <c r="A91" s="183" t="s">
        <v>576</v>
      </c>
      <c r="B91" s="167" t="s">
        <v>17</v>
      </c>
      <c r="C91" s="168" t="s">
        <v>86</v>
      </c>
      <c r="D91" s="18"/>
      <c r="E91" s="19">
        <v>296</v>
      </c>
      <c r="F91" s="79">
        <f t="shared" si="0"/>
        <v>3191.8</v>
      </c>
      <c r="G91" s="79"/>
      <c r="H91" s="77"/>
      <c r="I91" s="77"/>
      <c r="J91" s="77"/>
      <c r="K91" s="77"/>
      <c r="L91" s="77"/>
      <c r="M91" s="77"/>
      <c r="N91" s="77"/>
    </row>
    <row r="92" customHeight="1" spans="1:14">
      <c r="A92" s="183"/>
      <c r="B92" s="165" t="s">
        <v>33</v>
      </c>
      <c r="C92" s="77" t="s">
        <v>201</v>
      </c>
      <c r="D92" s="76"/>
      <c r="E92" s="78">
        <v>200</v>
      </c>
      <c r="F92" s="79">
        <f t="shared" si="0"/>
        <v>2991.8</v>
      </c>
      <c r="G92" s="110"/>
      <c r="H92" s="110"/>
      <c r="I92" s="110"/>
      <c r="J92" s="110"/>
      <c r="K92" s="110"/>
      <c r="L92" s="110"/>
      <c r="M92" s="110"/>
      <c r="N92" s="110"/>
    </row>
    <row r="93" customHeight="1" spans="1:14">
      <c r="A93" s="183"/>
      <c r="B93" s="165" t="s">
        <v>577</v>
      </c>
      <c r="C93" s="77" t="s">
        <v>224</v>
      </c>
      <c r="D93" s="76"/>
      <c r="E93" s="78">
        <f>40+60+85+3</f>
        <v>188</v>
      </c>
      <c r="F93" s="79">
        <f t="shared" si="0"/>
        <v>2803.8</v>
      </c>
      <c r="G93" s="110"/>
      <c r="H93" s="110"/>
      <c r="I93" s="110"/>
      <c r="J93" s="110"/>
      <c r="K93" s="110"/>
      <c r="L93" s="110"/>
      <c r="M93" s="110"/>
      <c r="N93" s="110"/>
    </row>
    <row r="94" customHeight="1" spans="1:14">
      <c r="A94" s="183" t="s">
        <v>578</v>
      </c>
      <c r="B94" s="165"/>
      <c r="C94" s="77" t="s">
        <v>219</v>
      </c>
      <c r="D94" s="76"/>
      <c r="E94" s="78">
        <v>200</v>
      </c>
      <c r="F94" s="79">
        <f t="shared" si="0"/>
        <v>2603.8</v>
      </c>
      <c r="G94" s="110"/>
      <c r="H94" s="110"/>
      <c r="I94" s="110"/>
      <c r="J94" s="110"/>
      <c r="K94" s="110"/>
      <c r="L94" s="110"/>
      <c r="M94" s="110"/>
      <c r="N94" s="110"/>
    </row>
    <row r="95" customHeight="1" spans="1:14">
      <c r="A95" s="183"/>
      <c r="B95" s="165" t="s">
        <v>579</v>
      </c>
      <c r="C95" s="77" t="s">
        <v>27</v>
      </c>
      <c r="D95" s="76"/>
      <c r="E95" s="78">
        <v>468.89</v>
      </c>
      <c r="F95" s="79">
        <f t="shared" si="0"/>
        <v>2134.91</v>
      </c>
      <c r="G95" s="110"/>
      <c r="H95" s="110"/>
      <c r="I95" s="110"/>
      <c r="J95" s="110"/>
      <c r="K95" s="110"/>
      <c r="L95" s="110"/>
      <c r="M95" s="110"/>
      <c r="N95" s="110"/>
    </row>
    <row r="96" customHeight="1" spans="1:14">
      <c r="A96" s="183"/>
      <c r="B96" s="165" t="s">
        <v>580</v>
      </c>
      <c r="C96" s="77" t="s">
        <v>214</v>
      </c>
      <c r="D96" s="76"/>
      <c r="E96" s="78">
        <v>26</v>
      </c>
      <c r="F96" s="79">
        <f t="shared" si="0"/>
        <v>2108.91</v>
      </c>
      <c r="G96" s="124"/>
      <c r="H96" s="125"/>
      <c r="I96" s="125"/>
      <c r="J96" s="125"/>
      <c r="K96" s="125"/>
      <c r="L96" s="125"/>
      <c r="M96" s="125"/>
      <c r="N96" s="124"/>
    </row>
    <row r="97" customHeight="1" spans="1:14">
      <c r="A97" s="183"/>
      <c r="B97" s="165" t="s">
        <v>91</v>
      </c>
      <c r="C97" s="77" t="s">
        <v>245</v>
      </c>
      <c r="D97" s="76"/>
      <c r="E97" s="78">
        <v>102</v>
      </c>
      <c r="F97" s="79">
        <f t="shared" si="0"/>
        <v>2006.91</v>
      </c>
      <c r="G97" s="77">
        <f>ABS(G98-F98)</f>
        <v>3.18323145620525e-12</v>
      </c>
      <c r="H97" s="77"/>
      <c r="I97" s="77"/>
      <c r="J97" s="77"/>
      <c r="K97" s="77"/>
      <c r="L97" s="77"/>
      <c r="M97" s="77"/>
      <c r="N97" s="77"/>
    </row>
    <row r="98" customHeight="1" spans="1:14">
      <c r="A98" s="183"/>
      <c r="B98" s="165" t="s">
        <v>407</v>
      </c>
      <c r="C98" s="77" t="s">
        <v>27</v>
      </c>
      <c r="D98" s="76"/>
      <c r="E98" s="78">
        <v>55</v>
      </c>
      <c r="F98" s="79">
        <f t="shared" si="0"/>
        <v>1951.91</v>
      </c>
      <c r="G98" s="79">
        <f>H98+I98+J98+K98+L98+M98+N98</f>
        <v>1951.91</v>
      </c>
      <c r="H98" s="77">
        <v>476.46</v>
      </c>
      <c r="I98" s="77">
        <f>956.11</f>
        <v>956.11</v>
      </c>
      <c r="J98" s="77">
        <v>0</v>
      </c>
      <c r="K98" s="77">
        <v>0</v>
      </c>
      <c r="L98" s="77">
        <v>65.34</v>
      </c>
      <c r="M98" s="77">
        <v>0</v>
      </c>
      <c r="N98" s="77">
        <f>200+200+54</f>
        <v>454</v>
      </c>
    </row>
    <row r="99" customHeight="1" spans="1:14">
      <c r="A99" s="184" t="s">
        <v>581</v>
      </c>
      <c r="B99" s="175" t="s">
        <v>582</v>
      </c>
      <c r="C99" s="176" t="s">
        <v>27</v>
      </c>
      <c r="D99" s="97"/>
      <c r="E99" s="98">
        <f>395.42-228</f>
        <v>167.42</v>
      </c>
      <c r="F99" s="79">
        <f t="shared" si="0"/>
        <v>1784.49</v>
      </c>
      <c r="G99" s="28"/>
      <c r="H99" s="28"/>
      <c r="I99" s="28"/>
      <c r="J99" s="28"/>
      <c r="K99" s="28"/>
      <c r="L99" s="28"/>
      <c r="M99" s="28"/>
      <c r="N99" s="28"/>
    </row>
    <row r="100" customHeight="1" spans="1:14">
      <c r="A100" s="183"/>
      <c r="B100" s="167" t="s">
        <v>583</v>
      </c>
      <c r="C100" s="168" t="s">
        <v>27</v>
      </c>
      <c r="D100" s="18"/>
      <c r="E100" s="19">
        <v>130.64</v>
      </c>
      <c r="F100" s="79">
        <f t="shared" si="0"/>
        <v>1653.85</v>
      </c>
      <c r="G100" s="110"/>
      <c r="H100" s="110"/>
      <c r="I100" s="110"/>
      <c r="J100" s="110"/>
      <c r="K100" s="110"/>
      <c r="L100" s="110"/>
      <c r="M100" s="110"/>
      <c r="N100" s="110"/>
    </row>
    <row r="101" customHeight="1" spans="2:14">
      <c r="B101" s="167" t="s">
        <v>584</v>
      </c>
      <c r="C101" s="168" t="s">
        <v>245</v>
      </c>
      <c r="D101" s="18"/>
      <c r="E101" s="19">
        <v>228</v>
      </c>
      <c r="F101" s="79">
        <f t="shared" si="0"/>
        <v>1425.85</v>
      </c>
      <c r="G101" s="158"/>
      <c r="H101" s="158"/>
      <c r="I101" s="158"/>
      <c r="J101" s="158"/>
      <c r="K101" s="158"/>
      <c r="L101" s="158"/>
      <c r="M101" s="158"/>
      <c r="N101" s="158"/>
    </row>
    <row r="102" customHeight="1" spans="1:14">
      <c r="A102" s="183"/>
      <c r="B102" s="165" t="s">
        <v>585</v>
      </c>
      <c r="C102" s="77" t="s">
        <v>219</v>
      </c>
      <c r="D102" s="76"/>
      <c r="E102" s="78">
        <v>250.9</v>
      </c>
      <c r="F102" s="79">
        <f t="shared" si="0"/>
        <v>1174.95</v>
      </c>
      <c r="G102" s="158"/>
      <c r="H102" s="158"/>
      <c r="I102" s="62"/>
      <c r="J102" s="158"/>
      <c r="K102" s="158"/>
      <c r="L102" s="158"/>
      <c r="M102" s="158"/>
      <c r="N102" s="158"/>
    </row>
    <row r="103" customHeight="1" spans="1:14">
      <c r="A103" s="183"/>
      <c r="B103" s="165" t="s">
        <v>586</v>
      </c>
      <c r="C103" s="77" t="s">
        <v>214</v>
      </c>
      <c r="D103" s="76"/>
      <c r="E103" s="78">
        <v>5.9</v>
      </c>
      <c r="F103" s="79">
        <f t="shared" si="0"/>
        <v>1169.05</v>
      </c>
      <c r="G103" s="158"/>
      <c r="H103" s="158"/>
      <c r="I103" s="62"/>
      <c r="J103" s="158"/>
      <c r="K103" s="158"/>
      <c r="L103" s="158"/>
      <c r="M103" s="158"/>
      <c r="N103" s="158"/>
    </row>
    <row r="104" customHeight="1" spans="1:14">
      <c r="A104" s="183" t="s">
        <v>587</v>
      </c>
      <c r="B104" s="167" t="s">
        <v>588</v>
      </c>
      <c r="C104" s="168" t="s">
        <v>224</v>
      </c>
      <c r="D104" s="18"/>
      <c r="E104" s="19">
        <v>129.37</v>
      </c>
      <c r="F104" s="79">
        <f t="shared" si="0"/>
        <v>1039.68</v>
      </c>
      <c r="G104" s="77">
        <f>ABS(G105-F110)</f>
        <v>9.99999999999704</v>
      </c>
      <c r="H104" s="77"/>
      <c r="I104" s="77"/>
      <c r="J104" s="77"/>
      <c r="K104" s="77"/>
      <c r="L104" s="77"/>
      <c r="M104" s="77"/>
      <c r="N104" s="77"/>
    </row>
    <row r="105" customHeight="1" spans="1:14">
      <c r="A105" s="183"/>
      <c r="B105" s="165" t="s">
        <v>589</v>
      </c>
      <c r="C105" s="77" t="s">
        <v>86</v>
      </c>
      <c r="D105" s="76"/>
      <c r="E105" s="78">
        <v>60</v>
      </c>
      <c r="F105" s="79">
        <f t="shared" si="0"/>
        <v>979.680000000003</v>
      </c>
      <c r="G105" s="79">
        <f>H105+I105+J105+K105+L105+M105+N105</f>
        <v>979.68</v>
      </c>
      <c r="H105" s="77">
        <v>165.56</v>
      </c>
      <c r="I105" s="62">
        <v>300.68</v>
      </c>
      <c r="J105" s="77">
        <v>0</v>
      </c>
      <c r="K105" s="77">
        <v>0</v>
      </c>
      <c r="L105" s="77">
        <v>59.44</v>
      </c>
      <c r="M105" s="77">
        <v>0</v>
      </c>
      <c r="N105" s="77">
        <f>200+200+54</f>
        <v>454</v>
      </c>
    </row>
    <row r="106" customHeight="1" spans="1:14">
      <c r="A106" s="184" t="s">
        <v>590</v>
      </c>
      <c r="B106" s="170" t="s">
        <v>591</v>
      </c>
      <c r="C106" s="86"/>
      <c r="D106" s="83">
        <v>10</v>
      </c>
      <c r="E106" s="84"/>
      <c r="F106" s="85">
        <f t="shared" si="0"/>
        <v>989.680000000003</v>
      </c>
      <c r="G106" s="86">
        <f>ABS(G107-F112)</f>
        <v>2.95585778076202e-12</v>
      </c>
      <c r="H106" s="86"/>
      <c r="I106" s="86"/>
      <c r="J106" s="86"/>
      <c r="K106" s="86"/>
      <c r="L106" s="86"/>
      <c r="M106" s="86"/>
      <c r="N106" s="86"/>
    </row>
    <row r="107" customHeight="1" spans="1:14">
      <c r="A107" s="183"/>
      <c r="B107" s="165" t="s">
        <v>592</v>
      </c>
      <c r="C107" s="77" t="s">
        <v>224</v>
      </c>
      <c r="D107" s="76"/>
      <c r="E107" s="78">
        <v>20</v>
      </c>
      <c r="F107" s="79">
        <f t="shared" si="0"/>
        <v>969.680000000003</v>
      </c>
      <c r="G107" s="79">
        <f>H107+I107+J107+K107+L107+M107+N107</f>
        <v>969.68</v>
      </c>
      <c r="H107" s="77">
        <v>165.56</v>
      </c>
      <c r="I107" s="62">
        <v>300.68</v>
      </c>
      <c r="J107" s="77">
        <v>0</v>
      </c>
      <c r="K107" s="77">
        <v>0</v>
      </c>
      <c r="L107" s="77">
        <v>49.44</v>
      </c>
      <c r="M107" s="77">
        <v>0</v>
      </c>
      <c r="N107" s="77">
        <f>200+200+54</f>
        <v>454</v>
      </c>
    </row>
    <row r="108" customHeight="1" spans="1:14">
      <c r="A108" s="184"/>
      <c r="B108" s="170"/>
      <c r="C108" s="86"/>
      <c r="D108" s="83"/>
      <c r="E108" s="84"/>
      <c r="F108" s="85">
        <f t="shared" si="0"/>
        <v>969.680000000003</v>
      </c>
      <c r="G108" s="28"/>
      <c r="H108" s="28"/>
      <c r="I108" s="28"/>
      <c r="J108" s="28"/>
      <c r="K108" s="28"/>
      <c r="L108" s="28"/>
      <c r="M108" s="28"/>
      <c r="N108" s="28"/>
    </row>
    <row r="109" customHeight="1" spans="1:6">
      <c r="A109" s="183"/>
      <c r="B109" s="165"/>
      <c r="C109" s="77"/>
      <c r="D109" s="76"/>
      <c r="E109" s="78"/>
      <c r="F109" s="79">
        <f t="shared" si="0"/>
        <v>969.680000000003</v>
      </c>
    </row>
    <row r="110" customHeight="1" spans="1:6">
      <c r="A110" s="183"/>
      <c r="B110" s="165"/>
      <c r="C110" s="77"/>
      <c r="D110" s="76"/>
      <c r="E110" s="78"/>
      <c r="F110" s="79">
        <f t="shared" si="0"/>
        <v>969.680000000003</v>
      </c>
    </row>
    <row r="111" customHeight="1" spans="1:6">
      <c r="A111" s="183"/>
      <c r="B111" s="165"/>
      <c r="C111" s="77"/>
      <c r="D111" s="76"/>
      <c r="E111" s="78"/>
      <c r="F111" s="79">
        <f t="shared" si="0"/>
        <v>969.680000000003</v>
      </c>
    </row>
    <row r="112" customHeight="1" spans="1:14">
      <c r="A112" s="183"/>
      <c r="B112" s="165"/>
      <c r="C112" s="77"/>
      <c r="D112" s="76"/>
      <c r="E112" s="78"/>
      <c r="F112" s="79">
        <f t="shared" si="0"/>
        <v>969.680000000003</v>
      </c>
      <c r="G112" s="110"/>
      <c r="H112" s="110"/>
      <c r="I112" s="110"/>
      <c r="J112" s="110"/>
      <c r="K112" s="110"/>
      <c r="L112" s="110"/>
      <c r="M112" s="110"/>
      <c r="N112" s="110"/>
    </row>
    <row r="113" customHeight="1" spans="1:14">
      <c r="A113" s="183"/>
      <c r="B113" s="165"/>
      <c r="C113" s="77"/>
      <c r="D113" s="76"/>
      <c r="E113" s="78"/>
      <c r="F113" s="79">
        <f t="shared" si="0"/>
        <v>969.680000000003</v>
      </c>
      <c r="G113" s="118"/>
      <c r="H113" s="158"/>
      <c r="I113" s="105"/>
      <c r="J113" s="158"/>
      <c r="K113" s="158"/>
      <c r="L113" s="77"/>
      <c r="M113" s="158"/>
      <c r="N113" s="158"/>
    </row>
    <row r="114" customHeight="1" spans="1:14">
      <c r="A114" s="183"/>
      <c r="B114" s="165"/>
      <c r="C114" s="77"/>
      <c r="D114" s="76"/>
      <c r="E114" s="78"/>
      <c r="F114" s="79">
        <f t="shared" si="0"/>
        <v>969.680000000003</v>
      </c>
      <c r="G114" s="110"/>
      <c r="H114" s="105"/>
      <c r="I114" s="105"/>
      <c r="J114" s="105"/>
      <c r="K114" s="105"/>
      <c r="L114" s="105"/>
      <c r="M114" s="105"/>
      <c r="N114" s="105"/>
    </row>
    <row r="115" customHeight="1" spans="1:14">
      <c r="A115" s="183"/>
      <c r="B115" s="165"/>
      <c r="C115" s="77"/>
      <c r="D115" s="76"/>
      <c r="E115" s="78"/>
      <c r="F115" s="79">
        <f t="shared" si="0"/>
        <v>969.680000000003</v>
      </c>
      <c r="G115" s="77"/>
      <c r="H115" s="77"/>
      <c r="I115" s="77"/>
      <c r="J115" s="77"/>
      <c r="K115" s="77"/>
      <c r="L115" s="110"/>
      <c r="M115" s="77"/>
      <c r="N115" s="77"/>
    </row>
    <row r="116" customHeight="1" spans="1:14">
      <c r="A116" s="183"/>
      <c r="B116" s="165"/>
      <c r="C116" s="77"/>
      <c r="D116" s="76"/>
      <c r="E116" s="78"/>
      <c r="F116" s="79">
        <f t="shared" si="0"/>
        <v>969.680000000003</v>
      </c>
      <c r="G116" s="124"/>
      <c r="H116" s="125"/>
      <c r="I116" s="125"/>
      <c r="J116" s="125"/>
      <c r="K116" s="125"/>
      <c r="L116" s="125"/>
      <c r="M116" s="125"/>
      <c r="N116" s="125"/>
    </row>
    <row r="117" customHeight="1" spans="1:14">
      <c r="A117" s="183"/>
      <c r="B117" s="165"/>
      <c r="C117" s="77"/>
      <c r="D117" s="76"/>
      <c r="E117" s="78"/>
      <c r="F117" s="79">
        <f t="shared" si="0"/>
        <v>969.680000000003</v>
      </c>
      <c r="G117" s="110"/>
      <c r="H117" s="110"/>
      <c r="I117" s="110"/>
      <c r="J117" s="110"/>
      <c r="K117" s="110"/>
      <c r="L117" s="110"/>
      <c r="M117" s="110"/>
      <c r="N117" s="110"/>
    </row>
    <row r="118" customHeight="1" spans="1:14">
      <c r="A118" s="183"/>
      <c r="B118" s="165"/>
      <c r="C118" s="77"/>
      <c r="D118" s="76"/>
      <c r="E118" s="78"/>
      <c r="F118" s="79">
        <f t="shared" si="0"/>
        <v>969.680000000003</v>
      </c>
      <c r="G118" s="110"/>
      <c r="H118" s="110"/>
      <c r="I118" s="110"/>
      <c r="J118" s="110"/>
      <c r="K118" s="110"/>
      <c r="L118" s="110"/>
      <c r="M118" s="110"/>
      <c r="N118" s="110"/>
    </row>
    <row r="119" customHeight="1" spans="1:14">
      <c r="A119" s="183"/>
      <c r="B119" s="165"/>
      <c r="C119" s="77"/>
      <c r="D119" s="76"/>
      <c r="E119" s="78"/>
      <c r="F119" s="79">
        <f t="shared" si="0"/>
        <v>969.680000000003</v>
      </c>
      <c r="G119" s="110"/>
      <c r="H119" s="110"/>
      <c r="I119" s="110"/>
      <c r="J119" s="110"/>
      <c r="K119" s="110"/>
      <c r="L119" s="110"/>
      <c r="M119" s="110"/>
      <c r="N119" s="110"/>
    </row>
    <row r="120" customHeight="1" spans="1:14">
      <c r="A120" s="183"/>
      <c r="B120" s="165"/>
      <c r="C120" s="77"/>
      <c r="D120" s="76"/>
      <c r="E120" s="78"/>
      <c r="F120" s="79">
        <f t="shared" si="0"/>
        <v>969.680000000003</v>
      </c>
      <c r="G120" s="110"/>
      <c r="H120" s="110"/>
      <c r="I120" s="110"/>
      <c r="J120" s="110"/>
      <c r="K120" s="110"/>
      <c r="L120" s="110"/>
      <c r="M120" s="110"/>
      <c r="N120" s="110"/>
    </row>
    <row r="121" customHeight="1" spans="1:14">
      <c r="A121" s="183"/>
      <c r="B121" s="165"/>
      <c r="C121" s="77"/>
      <c r="D121" s="76"/>
      <c r="E121" s="78"/>
      <c r="F121" s="79">
        <f t="shared" si="0"/>
        <v>969.680000000003</v>
      </c>
      <c r="G121" s="110"/>
      <c r="H121" s="110"/>
      <c r="I121" s="110"/>
      <c r="J121" s="110"/>
      <c r="K121" s="110"/>
      <c r="L121" s="110"/>
      <c r="M121" s="110"/>
      <c r="N121" s="110"/>
    </row>
    <row r="122" customHeight="1" spans="1:14">
      <c r="A122" s="183"/>
      <c r="B122" s="165"/>
      <c r="C122" s="77"/>
      <c r="D122" s="76"/>
      <c r="E122" s="78"/>
      <c r="F122" s="79">
        <f t="shared" si="0"/>
        <v>969.680000000003</v>
      </c>
      <c r="G122" s="110"/>
      <c r="H122" s="110"/>
      <c r="I122" s="110"/>
      <c r="J122" s="110"/>
      <c r="K122" s="110"/>
      <c r="L122" s="110"/>
      <c r="M122" s="110"/>
      <c r="N122" s="110"/>
    </row>
    <row r="123" customHeight="1" spans="1:14">
      <c r="A123" s="183"/>
      <c r="B123" s="165"/>
      <c r="C123" s="77"/>
      <c r="D123" s="76"/>
      <c r="E123" s="78"/>
      <c r="F123" s="79">
        <f t="shared" si="0"/>
        <v>969.680000000003</v>
      </c>
      <c r="G123" s="110"/>
      <c r="H123" s="110"/>
      <c r="I123" s="110"/>
      <c r="J123" s="110"/>
      <c r="K123" s="110"/>
      <c r="L123" s="110"/>
      <c r="M123" s="110"/>
      <c r="N123" s="110"/>
    </row>
    <row r="124" customHeight="1" spans="1:14">
      <c r="A124" s="183"/>
      <c r="B124" s="165"/>
      <c r="C124" s="77"/>
      <c r="D124" s="76"/>
      <c r="E124" s="78"/>
      <c r="F124" s="79">
        <f t="shared" si="0"/>
        <v>969.680000000003</v>
      </c>
      <c r="G124" s="77"/>
      <c r="H124" s="77"/>
      <c r="I124" s="77"/>
      <c r="J124" s="77"/>
      <c r="K124" s="77"/>
      <c r="L124" s="110"/>
      <c r="M124" s="77"/>
      <c r="N124" s="77"/>
    </row>
    <row r="125" customHeight="1" spans="1:14">
      <c r="A125" s="183"/>
      <c r="B125" s="165"/>
      <c r="C125" s="77"/>
      <c r="D125" s="76"/>
      <c r="E125" s="78"/>
      <c r="F125" s="79">
        <f t="shared" si="0"/>
        <v>969.680000000003</v>
      </c>
      <c r="G125" s="77"/>
      <c r="H125" s="77"/>
      <c r="I125" s="77"/>
      <c r="J125" s="77"/>
      <c r="K125" s="77"/>
      <c r="L125" s="110"/>
      <c r="M125" s="77"/>
      <c r="N125" s="77"/>
    </row>
    <row r="126" customHeight="1" spans="1:14">
      <c r="A126" s="183"/>
      <c r="B126" s="165"/>
      <c r="C126" s="77"/>
      <c r="D126" s="76"/>
      <c r="E126" s="78"/>
      <c r="F126" s="79">
        <f t="shared" si="0"/>
        <v>969.680000000003</v>
      </c>
      <c r="G126" s="158"/>
      <c r="H126" s="158"/>
      <c r="I126" s="158"/>
      <c r="J126" s="158"/>
      <c r="K126" s="158"/>
      <c r="L126" s="158"/>
      <c r="M126" s="158"/>
      <c r="N126" s="158"/>
    </row>
    <row r="127" customHeight="1" spans="1:14">
      <c r="A127" s="183"/>
      <c r="B127" s="165"/>
      <c r="C127" s="77"/>
      <c r="D127" s="76"/>
      <c r="E127" s="78"/>
      <c r="F127" s="79">
        <f t="shared" si="0"/>
        <v>969.680000000003</v>
      </c>
      <c r="G127" s="158"/>
      <c r="H127" s="158"/>
      <c r="I127" s="158"/>
      <c r="J127" s="158"/>
      <c r="K127" s="158"/>
      <c r="L127" s="158"/>
      <c r="M127" s="158"/>
      <c r="N127" s="158"/>
    </row>
    <row r="128" customHeight="1" spans="1:14">
      <c r="A128" s="183"/>
      <c r="B128" s="165"/>
      <c r="C128" s="77"/>
      <c r="D128" s="76"/>
      <c r="E128" s="78"/>
      <c r="F128" s="79">
        <f t="shared" si="0"/>
        <v>969.680000000003</v>
      </c>
      <c r="G128" s="158"/>
      <c r="H128" s="158"/>
      <c r="I128" s="158"/>
      <c r="J128" s="158"/>
      <c r="K128" s="158"/>
      <c r="L128" s="158"/>
      <c r="M128" s="158"/>
      <c r="N128" s="158"/>
    </row>
    <row r="129" customHeight="1" spans="1:14">
      <c r="A129" s="183"/>
      <c r="B129" s="165"/>
      <c r="C129" s="77"/>
      <c r="D129" s="76"/>
      <c r="E129" s="78"/>
      <c r="F129" s="77"/>
      <c r="G129" s="110"/>
      <c r="H129" s="110"/>
      <c r="I129" s="110"/>
      <c r="J129" s="110"/>
      <c r="K129" s="110"/>
      <c r="L129" s="110"/>
      <c r="M129" s="110"/>
      <c r="N129" s="110"/>
    </row>
    <row r="130" customHeight="1" spans="1:14">
      <c r="A130" s="183"/>
      <c r="B130" s="165"/>
      <c r="C130" s="77"/>
      <c r="D130" s="76"/>
      <c r="E130" s="78"/>
      <c r="F130" s="77"/>
      <c r="G130" s="110"/>
      <c r="H130" s="110"/>
      <c r="I130" s="110"/>
      <c r="J130" s="110"/>
      <c r="K130" s="110"/>
      <c r="L130" s="110"/>
      <c r="M130" s="110"/>
      <c r="N130" s="110"/>
    </row>
    <row r="131" customHeight="1" spans="1:14">
      <c r="A131" s="183"/>
      <c r="B131" s="165"/>
      <c r="C131" s="77"/>
      <c r="D131" s="76"/>
      <c r="E131" s="78"/>
      <c r="F131" s="77"/>
      <c r="G131" s="110"/>
      <c r="H131" s="110"/>
      <c r="I131" s="110"/>
      <c r="J131" s="110"/>
      <c r="K131" s="110"/>
      <c r="L131" s="110"/>
      <c r="M131" s="110"/>
      <c r="N131" s="110"/>
    </row>
    <row r="132" customHeight="1" spans="1:14">
      <c r="A132" s="183"/>
      <c r="B132" s="165"/>
      <c r="C132" s="77"/>
      <c r="D132" s="76"/>
      <c r="E132" s="78"/>
      <c r="F132" s="77"/>
      <c r="G132" s="110"/>
      <c r="H132" s="110"/>
      <c r="I132" s="110"/>
      <c r="J132" s="110"/>
      <c r="K132" s="110"/>
      <c r="L132" s="110"/>
      <c r="M132" s="110"/>
      <c r="N132" s="110"/>
    </row>
    <row r="133" customHeight="1" spans="1:14">
      <c r="A133" s="183"/>
      <c r="B133" s="165"/>
      <c r="C133" s="77"/>
      <c r="D133" s="76"/>
      <c r="E133" s="78"/>
      <c r="F133" s="77"/>
      <c r="G133" s="110"/>
      <c r="H133" s="110"/>
      <c r="I133" s="110"/>
      <c r="J133" s="110"/>
      <c r="K133" s="110"/>
      <c r="L133" s="110"/>
      <c r="M133" s="110"/>
      <c r="N133" s="110"/>
    </row>
    <row r="134" customHeight="1" spans="1:14">
      <c r="A134" s="183"/>
      <c r="B134" s="165"/>
      <c r="C134" s="77"/>
      <c r="D134" s="76"/>
      <c r="E134" s="78"/>
      <c r="F134" s="77"/>
      <c r="G134" s="77"/>
      <c r="H134" s="77"/>
      <c r="I134" s="77"/>
      <c r="J134" s="77"/>
      <c r="K134" s="77"/>
      <c r="L134" s="110"/>
      <c r="M134" s="77"/>
      <c r="N134" s="77"/>
    </row>
    <row r="135" customHeight="1" spans="1:14">
      <c r="A135" s="183"/>
      <c r="B135" s="165"/>
      <c r="C135" s="77"/>
      <c r="D135" s="76"/>
      <c r="E135" s="78"/>
      <c r="F135" s="77"/>
      <c r="G135" s="110"/>
      <c r="H135" s="110"/>
      <c r="I135" s="110"/>
      <c r="J135" s="110"/>
      <c r="K135" s="110"/>
      <c r="L135" s="110"/>
      <c r="M135" s="110"/>
      <c r="N135" s="110"/>
    </row>
    <row r="136" customHeight="1" spans="1:14">
      <c r="A136" s="183"/>
      <c r="B136" s="165"/>
      <c r="C136" s="77"/>
      <c r="D136" s="76"/>
      <c r="E136" s="78"/>
      <c r="F136" s="77"/>
      <c r="G136" s="110"/>
      <c r="H136" s="110"/>
      <c r="I136" s="110"/>
      <c r="J136" s="110"/>
      <c r="K136" s="110"/>
      <c r="L136" s="110"/>
      <c r="M136" s="110"/>
      <c r="N136" s="110"/>
    </row>
    <row r="137" customHeight="1" spans="1:14">
      <c r="A137" s="183"/>
      <c r="B137" s="165"/>
      <c r="C137" s="77"/>
      <c r="D137" s="76"/>
      <c r="E137" s="78"/>
      <c r="F137" s="77"/>
      <c r="G137" s="110"/>
      <c r="H137" s="110"/>
      <c r="I137" s="110"/>
      <c r="J137" s="110"/>
      <c r="K137" s="110"/>
      <c r="L137" s="110"/>
      <c r="M137" s="110"/>
      <c r="N137" s="110"/>
    </row>
    <row r="138" customHeight="1" spans="1:14">
      <c r="A138" s="183"/>
      <c r="B138" s="165"/>
      <c r="C138" s="77"/>
      <c r="D138" s="76"/>
      <c r="E138" s="78"/>
      <c r="F138" s="77"/>
      <c r="G138" s="110"/>
      <c r="H138" s="110"/>
      <c r="I138" s="110"/>
      <c r="J138" s="110"/>
      <c r="K138" s="110"/>
      <c r="L138" s="110"/>
      <c r="M138" s="110"/>
      <c r="N138" s="110"/>
    </row>
    <row r="139" customHeight="1" spans="1:14">
      <c r="A139" s="183"/>
      <c r="B139" s="165"/>
      <c r="C139" s="77"/>
      <c r="D139" s="76"/>
      <c r="E139" s="78"/>
      <c r="F139" s="77"/>
      <c r="G139" s="110"/>
      <c r="H139" s="110"/>
      <c r="I139" s="110"/>
      <c r="J139" s="110"/>
      <c r="K139" s="110"/>
      <c r="L139" s="110"/>
      <c r="M139" s="110"/>
      <c r="N139" s="110"/>
    </row>
    <row r="140" customHeight="1" spans="1:14">
      <c r="A140" s="183"/>
      <c r="B140" s="165"/>
      <c r="C140" s="77"/>
      <c r="D140" s="76"/>
      <c r="E140" s="78"/>
      <c r="F140" s="77"/>
      <c r="G140" s="110"/>
      <c r="H140" s="110"/>
      <c r="I140" s="110"/>
      <c r="J140" s="110"/>
      <c r="K140" s="110"/>
      <c r="L140" s="110"/>
      <c r="M140" s="110"/>
      <c r="N140" s="110"/>
    </row>
    <row r="141" customHeight="1" spans="1:14">
      <c r="A141" s="183"/>
      <c r="B141" s="165"/>
      <c r="C141" s="77"/>
      <c r="D141" s="76"/>
      <c r="E141" s="78"/>
      <c r="F141" s="77"/>
      <c r="G141" s="110"/>
      <c r="H141" s="110"/>
      <c r="I141" s="110"/>
      <c r="J141" s="110"/>
      <c r="K141" s="110"/>
      <c r="L141" s="110"/>
      <c r="M141" s="110"/>
      <c r="N141" s="110"/>
    </row>
    <row r="142" customHeight="1" spans="1:14">
      <c r="A142" s="183"/>
      <c r="B142" s="165"/>
      <c r="C142" s="77"/>
      <c r="D142" s="76"/>
      <c r="E142" s="78"/>
      <c r="F142" s="77"/>
      <c r="G142" s="110"/>
      <c r="H142" s="110"/>
      <c r="I142" s="110"/>
      <c r="J142" s="110"/>
      <c r="K142" s="110"/>
      <c r="L142" s="110"/>
      <c r="M142" s="110"/>
      <c r="N142" s="110"/>
    </row>
    <row r="143" customHeight="1" spans="1:14">
      <c r="A143" s="183"/>
      <c r="B143" s="165"/>
      <c r="C143" s="77"/>
      <c r="D143" s="76"/>
      <c r="E143" s="78"/>
      <c r="F143" s="77"/>
      <c r="G143" s="110"/>
      <c r="H143" s="110"/>
      <c r="I143" s="110"/>
      <c r="J143" s="110"/>
      <c r="K143" s="110"/>
      <c r="L143" s="110"/>
      <c r="M143" s="110"/>
      <c r="N143" s="110"/>
    </row>
    <row r="144" customHeight="1" spans="1:14">
      <c r="A144" s="183"/>
      <c r="B144" s="165"/>
      <c r="C144" s="77"/>
      <c r="D144" s="76"/>
      <c r="E144" s="78"/>
      <c r="F144" s="77"/>
      <c r="G144" s="110"/>
      <c r="H144" s="110"/>
      <c r="I144" s="110"/>
      <c r="J144" s="110"/>
      <c r="K144" s="110"/>
      <c r="L144" s="110"/>
      <c r="M144" s="110"/>
      <c r="N144" s="110"/>
    </row>
    <row r="145" customHeight="1" spans="1:14">
      <c r="A145" s="183"/>
      <c r="B145" s="165"/>
      <c r="C145" s="77"/>
      <c r="D145" s="76"/>
      <c r="E145" s="78"/>
      <c r="F145" s="77"/>
      <c r="G145" s="110"/>
      <c r="H145" s="110"/>
      <c r="I145" s="110"/>
      <c r="J145" s="110"/>
      <c r="K145" s="110"/>
      <c r="L145" s="110"/>
      <c r="M145" s="110"/>
      <c r="N145" s="110"/>
    </row>
    <row r="146" customHeight="1" spans="1:14">
      <c r="A146" s="183"/>
      <c r="B146" s="165"/>
      <c r="C146" s="77"/>
      <c r="D146" s="76"/>
      <c r="E146" s="78"/>
      <c r="F146" s="77"/>
      <c r="G146" s="110"/>
      <c r="H146" s="110"/>
      <c r="I146" s="110"/>
      <c r="J146" s="110"/>
      <c r="K146" s="110"/>
      <c r="L146" s="110"/>
      <c r="M146" s="110"/>
      <c r="N146" s="110"/>
    </row>
    <row r="147" customHeight="1" spans="1:14">
      <c r="A147" s="183"/>
      <c r="B147" s="165"/>
      <c r="C147" s="77"/>
      <c r="D147" s="76"/>
      <c r="E147" s="78"/>
      <c r="F147" s="77"/>
      <c r="G147" s="110"/>
      <c r="H147" s="110"/>
      <c r="I147" s="110"/>
      <c r="J147" s="110"/>
      <c r="K147" s="110"/>
      <c r="L147" s="110"/>
      <c r="M147" s="110"/>
      <c r="N147" s="110"/>
    </row>
    <row r="148" customHeight="1" spans="1:14">
      <c r="A148" s="183"/>
      <c r="B148" s="165"/>
      <c r="C148" s="77"/>
      <c r="D148" s="76"/>
      <c r="E148" s="78"/>
      <c r="F148" s="77"/>
      <c r="G148" s="110"/>
      <c r="H148" s="110"/>
      <c r="I148" s="110"/>
      <c r="J148" s="110"/>
      <c r="K148" s="110"/>
      <c r="L148" s="110"/>
      <c r="M148" s="110"/>
      <c r="N148" s="110"/>
    </row>
    <row r="149" customHeight="1" spans="1:14">
      <c r="A149" s="183"/>
      <c r="B149" s="165"/>
      <c r="C149" s="77"/>
      <c r="D149" s="76"/>
      <c r="E149" s="78"/>
      <c r="F149" s="77"/>
      <c r="G149" s="110"/>
      <c r="H149" s="110"/>
      <c r="I149" s="110"/>
      <c r="J149" s="110"/>
      <c r="K149" s="110"/>
      <c r="L149" s="110"/>
      <c r="M149" s="110"/>
      <c r="N149" s="110"/>
    </row>
    <row r="150" customHeight="1" spans="1:14">
      <c r="A150" s="183"/>
      <c r="B150" s="165"/>
      <c r="C150" s="77"/>
      <c r="D150" s="76"/>
      <c r="E150" s="78"/>
      <c r="F150" s="77"/>
      <c r="G150" s="110"/>
      <c r="H150" s="110"/>
      <c r="I150" s="110"/>
      <c r="J150" s="110"/>
      <c r="K150" s="110"/>
      <c r="L150" s="110"/>
      <c r="M150" s="110"/>
      <c r="N150" s="110"/>
    </row>
    <row r="151" customHeight="1" spans="1:14">
      <c r="A151" s="183"/>
      <c r="B151" s="165"/>
      <c r="C151" s="77"/>
      <c r="D151" s="76"/>
      <c r="E151" s="78"/>
      <c r="F151" s="77"/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83"/>
      <c r="B152" s="165"/>
      <c r="C152" s="77"/>
      <c r="D152" s="76"/>
      <c r="E152" s="78"/>
      <c r="F152" s="77"/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83"/>
      <c r="B153" s="165"/>
      <c r="C153" s="77"/>
      <c r="D153" s="76"/>
      <c r="E153" s="78"/>
      <c r="F153" s="77"/>
      <c r="G153" s="110"/>
      <c r="H153" s="110"/>
      <c r="I153" s="110"/>
      <c r="J153" s="110"/>
      <c r="K153" s="110"/>
      <c r="L153" s="110"/>
      <c r="M153" s="110"/>
      <c r="N153" s="110"/>
    </row>
    <row r="154" customHeight="1" spans="1:14">
      <c r="A154" s="183"/>
      <c r="B154" s="165"/>
      <c r="C154" s="77"/>
      <c r="D154" s="76"/>
      <c r="E154" s="78"/>
      <c r="F154" s="77"/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83"/>
      <c r="B155" s="165"/>
      <c r="C155" s="77"/>
      <c r="D155" s="76"/>
      <c r="E155" s="78"/>
      <c r="F155" s="77"/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83"/>
      <c r="B156" s="165"/>
      <c r="C156" s="77"/>
      <c r="D156" s="76"/>
      <c r="E156" s="78"/>
      <c r="F156" s="77"/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83"/>
      <c r="B157" s="165"/>
      <c r="C157" s="77"/>
      <c r="D157" s="76"/>
      <c r="E157" s="78"/>
      <c r="F157" s="77"/>
      <c r="G157" s="110"/>
      <c r="H157" s="110"/>
      <c r="I157" s="110"/>
      <c r="J157" s="110"/>
      <c r="K157" s="110"/>
      <c r="L157" s="110"/>
      <c r="M157" s="110"/>
      <c r="N157" s="110"/>
    </row>
    <row r="158" customHeight="1" spans="1:14">
      <c r="A158" s="183"/>
      <c r="B158" s="165"/>
      <c r="C158" s="77"/>
      <c r="D158" s="76"/>
      <c r="E158" s="78"/>
      <c r="F158" s="77"/>
      <c r="G158" s="110"/>
      <c r="H158" s="110"/>
      <c r="I158" s="110"/>
      <c r="J158" s="110"/>
      <c r="K158" s="110"/>
      <c r="L158" s="110"/>
      <c r="M158" s="110"/>
      <c r="N158" s="110"/>
    </row>
    <row r="159" customHeight="1" spans="1:14">
      <c r="A159" s="183"/>
      <c r="B159" s="165"/>
      <c r="C159" s="77"/>
      <c r="D159" s="76"/>
      <c r="E159" s="78"/>
      <c r="F159" s="77"/>
      <c r="G159" s="110"/>
      <c r="H159" s="110"/>
      <c r="I159" s="110"/>
      <c r="J159" s="110"/>
      <c r="K159" s="110"/>
      <c r="L159" s="110"/>
      <c r="M159" s="110"/>
      <c r="N159" s="110"/>
    </row>
    <row r="160" customHeight="1" spans="1:14">
      <c r="A160" s="183"/>
      <c r="B160" s="165"/>
      <c r="C160" s="77"/>
      <c r="D160" s="76"/>
      <c r="E160" s="78"/>
      <c r="F160" s="77"/>
      <c r="G160" s="110"/>
      <c r="H160" s="110"/>
      <c r="I160" s="110"/>
      <c r="J160" s="110"/>
      <c r="K160" s="110"/>
      <c r="L160" s="110"/>
      <c r="M160" s="110"/>
      <c r="N160" s="110"/>
    </row>
    <row r="161" customHeight="1" spans="1:14">
      <c r="A161" s="183"/>
      <c r="B161" s="165"/>
      <c r="C161" s="77"/>
      <c r="D161" s="76"/>
      <c r="E161" s="78"/>
      <c r="F161" s="77"/>
      <c r="G161" s="110"/>
      <c r="H161" s="110"/>
      <c r="I161" s="110"/>
      <c r="J161" s="110"/>
      <c r="K161" s="110"/>
      <c r="L161" s="110"/>
      <c r="M161" s="110"/>
      <c r="N161" s="110"/>
    </row>
    <row r="162" customHeight="1" spans="1:14">
      <c r="A162" s="183"/>
      <c r="B162" s="165"/>
      <c r="C162" s="77"/>
      <c r="D162" s="76"/>
      <c r="E162" s="78"/>
      <c r="F162" s="77"/>
      <c r="G162" s="110"/>
      <c r="H162" s="110"/>
      <c r="I162" s="110"/>
      <c r="J162" s="110"/>
      <c r="K162" s="110"/>
      <c r="L162" s="110"/>
      <c r="M162" s="110"/>
      <c r="N162" s="110"/>
    </row>
    <row r="163" customHeight="1" spans="1:14">
      <c r="A163" s="183"/>
      <c r="B163" s="165"/>
      <c r="C163" s="77"/>
      <c r="D163" s="76"/>
      <c r="E163" s="78"/>
      <c r="F163" s="77"/>
      <c r="G163" s="110"/>
      <c r="H163" s="110"/>
      <c r="I163" s="110"/>
      <c r="J163" s="110"/>
      <c r="K163" s="110"/>
      <c r="L163" s="110"/>
      <c r="M163" s="110"/>
      <c r="N163" s="110"/>
    </row>
    <row r="164" customHeight="1" spans="1:14">
      <c r="A164" s="183"/>
      <c r="B164" s="165"/>
      <c r="C164" s="77"/>
      <c r="D164" s="76"/>
      <c r="E164" s="78"/>
      <c r="F164" s="77"/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83"/>
      <c r="B165" s="165"/>
      <c r="C165" s="77"/>
      <c r="D165" s="76"/>
      <c r="E165" s="78"/>
      <c r="F165" s="77"/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83"/>
      <c r="B166" s="165"/>
      <c r="C166" s="77"/>
      <c r="D166" s="76"/>
      <c r="E166" s="78"/>
      <c r="F166" s="77"/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4">
      <c r="A167" s="183"/>
      <c r="B167" s="165"/>
      <c r="C167" s="77"/>
      <c r="D167" s="76"/>
      <c r="E167" s="78"/>
      <c r="F167" s="77"/>
      <c r="G167" s="110"/>
      <c r="H167" s="110"/>
      <c r="I167" s="110"/>
      <c r="J167" s="110"/>
      <c r="K167" s="110"/>
      <c r="L167" s="110"/>
      <c r="M167" s="110"/>
      <c r="N167" s="110"/>
    </row>
    <row r="168" customHeight="1" spans="2:2">
      <c r="B168" s="48"/>
    </row>
    <row r="169" customHeight="1" spans="2:2">
      <c r="B169" s="48"/>
    </row>
    <row r="170" customHeight="1" spans="2:2">
      <c r="B170" s="48"/>
    </row>
    <row r="171" customHeight="1" spans="2:6">
      <c r="B171" s="48"/>
      <c r="D171" s="126" t="s">
        <v>294</v>
      </c>
      <c r="E171" s="126" t="s">
        <v>295</v>
      </c>
      <c r="F171" s="126" t="s">
        <v>15</v>
      </c>
    </row>
    <row r="172" customHeight="1" spans="2:6">
      <c r="B172" s="48"/>
      <c r="D172" s="70">
        <f t="shared" ref="D172:E172" si="1">SUM(D3:D167)</f>
        <v>54877.47</v>
      </c>
      <c r="E172" s="70">
        <f t="shared" si="1"/>
        <v>53907.79</v>
      </c>
      <c r="F172" s="70">
        <f>D172-E172</f>
        <v>969.679999999986</v>
      </c>
    </row>
    <row r="173" customHeight="1" spans="2:5">
      <c r="B173" s="48"/>
      <c r="D173" s="189" t="s">
        <v>417</v>
      </c>
      <c r="E173" s="172">
        <f>E172-15000</f>
        <v>38907.79</v>
      </c>
    </row>
    <row r="174" customHeight="1" spans="2:5">
      <c r="B174" s="48"/>
      <c r="D174" s="189" t="s">
        <v>497</v>
      </c>
      <c r="E174" s="172">
        <f>E173-3500</f>
        <v>35407.79</v>
      </c>
    </row>
    <row r="175" customHeight="1" spans="2:2">
      <c r="B175" s="48"/>
    </row>
    <row r="176" customHeight="1" spans="2:2">
      <c r="B176" s="48"/>
    </row>
    <row r="177" customHeight="1" spans="2:2">
      <c r="B177" s="48"/>
    </row>
    <row r="178" customHeight="1" spans="2:6">
      <c r="B178" s="48"/>
      <c r="D178" s="55" t="s">
        <v>27</v>
      </c>
      <c r="E178" s="53">
        <f ca="1">SUMIF(C$3:E$168,"Grocery",E$3:E$168)</f>
        <v>11038.05</v>
      </c>
      <c r="F178" s="56">
        <f ca="1">SUM(E178:E180)</f>
        <v>15365.69</v>
      </c>
    </row>
    <row r="179" customHeight="1" spans="2:6">
      <c r="B179" s="48"/>
      <c r="D179" s="55" t="s">
        <v>224</v>
      </c>
      <c r="E179" s="53">
        <f ca="1">SUMIF(C$3:E$168,"Snacks",E$3:E$168)</f>
        <v>1922.64</v>
      </c>
      <c r="F179" s="57"/>
    </row>
    <row r="180" customHeight="1" spans="2:6">
      <c r="B180" s="48"/>
      <c r="D180" s="55" t="s">
        <v>299</v>
      </c>
      <c r="E180" s="53">
        <f ca="1">SUMIF(C$3:E$167,"Food",E$3:E$167)</f>
        <v>2405</v>
      </c>
      <c r="F180" s="58"/>
    </row>
    <row r="181" customHeight="1" spans="2:5">
      <c r="B181" s="48"/>
      <c r="D181" s="55" t="s">
        <v>245</v>
      </c>
      <c r="E181" s="53">
        <f ca="1">SUMIF(C$3:E$169,"Health",E$3:E$169)</f>
        <v>2644</v>
      </c>
    </row>
    <row r="182" customHeight="1" spans="2:7">
      <c r="B182" s="48"/>
      <c r="D182" s="55" t="s">
        <v>54</v>
      </c>
      <c r="E182" s="53">
        <f ca="1">SUMIF(C$3:E$179,"Dress",E$3:E$179)</f>
        <v>324</v>
      </c>
      <c r="F182" s="59"/>
      <c r="G182" s="60"/>
    </row>
    <row r="183" customHeight="1" spans="2:5">
      <c r="B183" s="48"/>
      <c r="D183" s="55" t="s">
        <v>214</v>
      </c>
      <c r="E183" s="53">
        <f ca="1">SUMIF(C$3:E$179,"Home",E$3:E$179)</f>
        <v>21186.9</v>
      </c>
    </row>
    <row r="184" customHeight="1" spans="2:7">
      <c r="B184" s="48"/>
      <c r="D184" s="55" t="s">
        <v>281</v>
      </c>
      <c r="E184" s="53">
        <f ca="1">SUMIF(C$3:E$179,"Tickets",E$3:E$179)</f>
        <v>3014.2</v>
      </c>
      <c r="F184" s="61">
        <f ca="1">SUM(E184:E186)</f>
        <v>4964.2</v>
      </c>
      <c r="G184" s="62"/>
    </row>
    <row r="185" customHeight="1" spans="2:8">
      <c r="B185" s="48"/>
      <c r="D185" s="55" t="s">
        <v>210</v>
      </c>
      <c r="E185" s="53">
        <f ca="1">SUMIF(C$3:E$179,"Transport",E$3:E$179)</f>
        <v>1130</v>
      </c>
      <c r="F185" s="66"/>
      <c r="H185" s="67" t="s">
        <v>300</v>
      </c>
    </row>
    <row r="186" customHeight="1" spans="2:8">
      <c r="B186" s="48"/>
      <c r="D186" s="55" t="s">
        <v>201</v>
      </c>
      <c r="E186" s="53">
        <f ca="1">SUMIF(C$3:E$179,"Fuel",E$3:E$179)</f>
        <v>820</v>
      </c>
      <c r="F186" s="68"/>
      <c r="H186" s="53">
        <f ca="1">E172-E188</f>
        <v>1048.00000000002</v>
      </c>
    </row>
    <row r="187" customHeight="1" spans="2:5">
      <c r="B187" s="48"/>
      <c r="D187" s="55" t="s">
        <v>219</v>
      </c>
      <c r="E187" s="53">
        <f ca="1">SUMIF(C$3:E$179,"Others",E$3:E$179)</f>
        <v>8375</v>
      </c>
    </row>
    <row r="188" customHeight="1" spans="2:5">
      <c r="B188" s="48"/>
      <c r="D188" s="69" t="s">
        <v>7</v>
      </c>
      <c r="E188" s="70">
        <f ca="1">SUM(E178:E187)</f>
        <v>52859.79</v>
      </c>
    </row>
    <row r="189" customHeight="1" spans="2:2">
      <c r="B189" s="48"/>
    </row>
    <row r="190" customHeight="1" spans="2:2">
      <c r="B190" s="48"/>
    </row>
    <row r="191" customHeight="1" spans="2:2">
      <c r="B191" s="48"/>
    </row>
    <row r="192" customHeight="1" spans="2:2">
      <c r="B192" s="48"/>
    </row>
    <row r="193" customHeight="1" spans="2:2">
      <c r="B193" s="48"/>
    </row>
    <row r="194" customHeight="1" spans="2:2">
      <c r="B194" s="48"/>
    </row>
    <row r="195" customHeight="1" spans="2:2">
      <c r="B195" s="48"/>
    </row>
    <row r="196" customHeight="1" spans="2:2">
      <c r="B196" s="48"/>
    </row>
    <row r="197" customHeight="1" spans="2:2">
      <c r="B197" s="48"/>
    </row>
    <row r="198" customHeight="1" spans="2:2">
      <c r="B198" s="48"/>
    </row>
    <row r="199" customHeight="1" spans="2:2">
      <c r="B199" s="48"/>
    </row>
    <row r="200" customHeight="1" spans="2:2">
      <c r="B200" s="48"/>
    </row>
    <row r="201" customHeight="1" spans="2:2">
      <c r="B201" s="48"/>
    </row>
    <row r="202" customHeight="1" spans="2:2">
      <c r="B202" s="48"/>
    </row>
    <row r="203" customHeight="1" spans="2:2">
      <c r="B203" s="48"/>
    </row>
    <row r="204" customHeight="1" spans="2:2">
      <c r="B204" s="48"/>
    </row>
    <row r="205" customHeight="1" spans="2:2">
      <c r="B205" s="48"/>
    </row>
    <row r="206" customHeight="1" spans="2:2">
      <c r="B206" s="48"/>
    </row>
    <row r="207" customHeight="1" spans="2:2">
      <c r="B207" s="48"/>
    </row>
    <row r="208" customHeight="1" spans="2:2">
      <c r="B208" s="48"/>
    </row>
    <row r="209" customHeight="1" spans="2:2">
      <c r="B209" s="48"/>
    </row>
    <row r="210" customHeight="1" spans="2:2">
      <c r="B210" s="48"/>
    </row>
    <row r="211" customHeight="1" spans="2:2">
      <c r="B211" s="48"/>
    </row>
    <row r="212" customHeight="1" spans="2:2">
      <c r="B212" s="48"/>
    </row>
    <row r="213" customHeight="1" spans="2:2">
      <c r="B213" s="48"/>
    </row>
    <row r="214" customHeight="1" spans="2:2">
      <c r="B214" s="48"/>
    </row>
    <row r="215" customHeight="1" spans="2:2">
      <c r="B215" s="48"/>
    </row>
    <row r="216" customHeight="1" spans="2:2">
      <c r="B216" s="48"/>
    </row>
    <row r="217" customHeight="1" spans="2:2">
      <c r="B217" s="48"/>
    </row>
    <row r="218" customHeight="1" spans="2:2">
      <c r="B218" s="48"/>
    </row>
    <row r="219" customHeight="1" spans="2:2">
      <c r="B219" s="48"/>
    </row>
    <row r="220" customHeight="1" spans="2:2">
      <c r="B220" s="48"/>
    </row>
    <row r="221" customHeight="1" spans="2:2">
      <c r="B221" s="48"/>
    </row>
    <row r="222" customHeight="1" spans="2:2">
      <c r="B222" s="48"/>
    </row>
    <row r="223" customHeight="1" spans="2:2">
      <c r="B223" s="48"/>
    </row>
    <row r="224" customHeight="1" spans="2:2">
      <c r="B224" s="48"/>
    </row>
    <row r="225" customHeight="1" spans="2:2">
      <c r="B225" s="48"/>
    </row>
    <row r="226" customHeight="1" spans="2:2">
      <c r="B226" s="48"/>
    </row>
    <row r="227" customHeight="1" spans="2:2">
      <c r="B227" s="48"/>
    </row>
    <row r="228" customHeight="1" spans="2:2">
      <c r="B228" s="48"/>
    </row>
    <row r="229" customHeight="1" spans="2:2">
      <c r="B229" s="48"/>
    </row>
    <row r="230" customHeight="1" spans="2:2">
      <c r="B230" s="48"/>
    </row>
    <row r="231" customHeight="1" spans="2:2">
      <c r="B231" s="48"/>
    </row>
    <row r="232" customHeight="1" spans="2:2">
      <c r="B232" s="48"/>
    </row>
    <row r="233" customHeight="1" spans="2:2">
      <c r="B233" s="48"/>
    </row>
    <row r="234" customHeight="1" spans="2:2">
      <c r="B234" s="48"/>
    </row>
    <row r="235" customHeight="1" spans="2:2">
      <c r="B235" s="48"/>
    </row>
    <row r="236" customHeight="1" spans="2:2">
      <c r="B236" s="48"/>
    </row>
    <row r="237" customHeight="1" spans="2:2">
      <c r="B237" s="48"/>
    </row>
    <row r="238" customHeight="1" spans="2:2">
      <c r="B238" s="48"/>
    </row>
    <row r="239" customHeight="1" spans="2:2">
      <c r="B239" s="48"/>
    </row>
    <row r="240" customHeight="1" spans="2:2">
      <c r="B240" s="48"/>
    </row>
    <row r="241" customHeight="1" spans="2:2">
      <c r="B241" s="48"/>
    </row>
    <row r="242" customHeight="1" spans="2:2">
      <c r="B242" s="48"/>
    </row>
    <row r="243" customHeight="1" spans="2:2">
      <c r="B243" s="48"/>
    </row>
    <row r="244" customHeight="1" spans="2:2">
      <c r="B244" s="48"/>
    </row>
    <row r="245" customHeight="1" spans="2:2">
      <c r="B245" s="48"/>
    </row>
    <row r="246" customHeight="1" spans="2:2">
      <c r="B246" s="48"/>
    </row>
    <row r="247" customHeight="1" spans="2:2">
      <c r="B247" s="48"/>
    </row>
    <row r="248" customHeight="1" spans="2:2">
      <c r="B248" s="48"/>
    </row>
    <row r="249" customHeight="1" spans="2:2">
      <c r="B249" s="48"/>
    </row>
    <row r="250" customHeight="1" spans="2:2">
      <c r="B250" s="48"/>
    </row>
    <row r="251" customHeight="1" spans="2:2">
      <c r="B251" s="48"/>
    </row>
    <row r="252" customHeight="1" spans="2:2">
      <c r="B252" s="48"/>
    </row>
    <row r="253" customHeight="1" spans="2:2">
      <c r="B253" s="48"/>
    </row>
    <row r="254" customHeight="1" spans="2:2">
      <c r="B254" s="48"/>
    </row>
    <row r="255" customHeight="1" spans="2:2">
      <c r="B255" s="48"/>
    </row>
    <row r="256" customHeight="1" spans="2:2">
      <c r="B256" s="48"/>
    </row>
    <row r="257" customHeight="1" spans="2:2">
      <c r="B257" s="48"/>
    </row>
    <row r="258" customHeight="1" spans="2:2">
      <c r="B258" s="48"/>
    </row>
    <row r="259" customHeight="1" spans="2:2">
      <c r="B259" s="48"/>
    </row>
    <row r="260" customHeight="1" spans="2:2">
      <c r="B260" s="48"/>
    </row>
    <row r="261" customHeight="1" spans="2:2">
      <c r="B261" s="48"/>
    </row>
    <row r="262" customHeight="1" spans="2:2">
      <c r="B262" s="48"/>
    </row>
    <row r="263" customHeight="1" spans="2:2">
      <c r="B263" s="48"/>
    </row>
    <row r="264" customHeight="1" spans="2:2">
      <c r="B264" s="48"/>
    </row>
    <row r="265" customHeight="1" spans="2:2">
      <c r="B265" s="48"/>
    </row>
    <row r="266" customHeight="1" spans="2:2">
      <c r="B266" s="48"/>
    </row>
    <row r="267" customHeight="1" spans="2:2">
      <c r="B267" s="48"/>
    </row>
    <row r="268" customHeight="1" spans="2:2">
      <c r="B268" s="48"/>
    </row>
    <row r="269" customHeight="1" spans="2:2">
      <c r="B269" s="48"/>
    </row>
    <row r="270" customHeight="1" spans="2:2">
      <c r="B270" s="48"/>
    </row>
    <row r="271" customHeight="1" spans="2:2">
      <c r="B271" s="48"/>
    </row>
    <row r="272" customHeight="1" spans="2:2">
      <c r="B272" s="48"/>
    </row>
    <row r="273" customHeight="1" spans="2:2">
      <c r="B273" s="48"/>
    </row>
    <row r="274" customHeight="1" spans="2:2">
      <c r="B274" s="48"/>
    </row>
    <row r="275" customHeight="1" spans="2:2">
      <c r="B275" s="48"/>
    </row>
    <row r="276" customHeight="1" spans="2:2">
      <c r="B276" s="48"/>
    </row>
    <row r="277" customHeight="1" spans="2:2">
      <c r="B277" s="48"/>
    </row>
    <row r="278" customHeight="1" spans="2:2">
      <c r="B278" s="48"/>
    </row>
    <row r="279" customHeight="1" spans="2:2">
      <c r="B279" s="48"/>
    </row>
    <row r="280" customHeight="1" spans="2:2">
      <c r="B280" s="48"/>
    </row>
    <row r="281" customHeight="1" spans="2:2">
      <c r="B281" s="48"/>
    </row>
    <row r="282" customHeight="1" spans="2:2">
      <c r="B282" s="48"/>
    </row>
    <row r="283" customHeight="1" spans="2:2">
      <c r="B283" s="48"/>
    </row>
    <row r="284" customHeight="1" spans="2:2">
      <c r="B284" s="48"/>
    </row>
    <row r="285" customHeight="1" spans="2:2">
      <c r="B285" s="48"/>
    </row>
    <row r="286" customHeight="1" spans="2:2">
      <c r="B286" s="48"/>
    </row>
    <row r="287" customHeight="1" spans="2:2">
      <c r="B287" s="48"/>
    </row>
    <row r="288" customHeight="1" spans="2:2">
      <c r="B288" s="48"/>
    </row>
    <row r="289" customHeight="1" spans="2:2">
      <c r="B289" s="48"/>
    </row>
    <row r="290" customHeight="1" spans="2:2">
      <c r="B290" s="48"/>
    </row>
    <row r="291" customHeight="1" spans="2:2">
      <c r="B291" s="48"/>
    </row>
    <row r="292" customHeight="1" spans="2:2">
      <c r="B292" s="48"/>
    </row>
    <row r="293" customHeight="1" spans="2:2">
      <c r="B293" s="48"/>
    </row>
    <row r="294" customHeight="1" spans="2:2">
      <c r="B294" s="48"/>
    </row>
    <row r="295" customHeight="1" spans="2:2">
      <c r="B295" s="48"/>
    </row>
    <row r="296" customHeight="1" spans="2:2">
      <c r="B296" s="48"/>
    </row>
    <row r="297" customHeight="1" spans="2:2">
      <c r="B297" s="48"/>
    </row>
    <row r="298" customHeight="1" spans="2:2">
      <c r="B298" s="48"/>
    </row>
    <row r="299" customHeight="1" spans="2:2">
      <c r="B299" s="48"/>
    </row>
    <row r="300" customHeight="1" spans="2:2">
      <c r="B300" s="48"/>
    </row>
    <row r="301" customHeight="1" spans="2:2">
      <c r="B301" s="48"/>
    </row>
    <row r="302" customHeight="1" spans="2:2">
      <c r="B302" s="48"/>
    </row>
    <row r="303" customHeight="1" spans="2:2">
      <c r="B303" s="48"/>
    </row>
    <row r="304" customHeight="1" spans="2:2">
      <c r="B304" s="48"/>
    </row>
    <row r="305" customHeight="1" spans="2:2">
      <c r="B305" s="48"/>
    </row>
    <row r="306" customHeight="1" spans="2:2">
      <c r="B306" s="48"/>
    </row>
    <row r="307" customHeight="1" spans="2:2">
      <c r="B307" s="48"/>
    </row>
    <row r="308" customHeight="1" spans="2:2">
      <c r="B308" s="48"/>
    </row>
    <row r="309" customHeight="1" spans="2:2">
      <c r="B309" s="48"/>
    </row>
    <row r="310" customHeight="1" spans="2:2">
      <c r="B310" s="48"/>
    </row>
    <row r="311" customHeight="1" spans="2:2">
      <c r="B311" s="48"/>
    </row>
    <row r="312" customHeight="1" spans="2:2">
      <c r="B312" s="48"/>
    </row>
    <row r="313" customHeight="1" spans="2:2">
      <c r="B313" s="48"/>
    </row>
    <row r="314" customHeight="1" spans="2:2">
      <c r="B314" s="48"/>
    </row>
    <row r="315" customHeight="1" spans="2:2">
      <c r="B315" s="48"/>
    </row>
    <row r="316" customHeight="1" spans="2:2">
      <c r="B316" s="48"/>
    </row>
    <row r="317" customHeight="1" spans="2:2">
      <c r="B317" s="48"/>
    </row>
    <row r="318" customHeight="1" spans="2:2">
      <c r="B318" s="48"/>
    </row>
    <row r="319" customHeight="1" spans="2:2">
      <c r="B319" s="48"/>
    </row>
    <row r="320" customHeight="1" spans="2:2">
      <c r="B320" s="48"/>
    </row>
    <row r="321" customHeight="1" spans="2:2">
      <c r="B321" s="48"/>
    </row>
    <row r="322" customHeight="1" spans="2:2">
      <c r="B322" s="48"/>
    </row>
    <row r="323" customHeight="1" spans="2:2">
      <c r="B323" s="48"/>
    </row>
    <row r="324" customHeight="1" spans="2:2">
      <c r="B324" s="48"/>
    </row>
    <row r="325" customHeight="1" spans="2:2">
      <c r="B325" s="48"/>
    </row>
    <row r="326" customHeight="1" spans="2:2">
      <c r="B326" s="48"/>
    </row>
    <row r="327" customHeight="1" spans="2:2">
      <c r="B327" s="48"/>
    </row>
    <row r="328" customHeight="1" spans="2:2">
      <c r="B328" s="48"/>
    </row>
    <row r="329" customHeight="1" spans="2:2">
      <c r="B329" s="48"/>
    </row>
    <row r="330" customHeight="1" spans="2:2">
      <c r="B330" s="48"/>
    </row>
    <row r="331" customHeight="1" spans="2:2">
      <c r="B331" s="48"/>
    </row>
    <row r="332" customHeight="1" spans="2:2">
      <c r="B332" s="48"/>
    </row>
    <row r="333" customHeight="1" spans="2:2">
      <c r="B333" s="48"/>
    </row>
    <row r="334" customHeight="1" spans="2:2">
      <c r="B334" s="48"/>
    </row>
    <row r="335" customHeight="1" spans="2:2">
      <c r="B335" s="48"/>
    </row>
    <row r="336" customHeight="1" spans="2:2">
      <c r="B336" s="48"/>
    </row>
    <row r="337" customHeight="1" spans="2:2">
      <c r="B337" s="48"/>
    </row>
    <row r="338" customHeight="1" spans="2:2">
      <c r="B338" s="48"/>
    </row>
    <row r="339" customHeight="1" spans="2:2">
      <c r="B339" s="48"/>
    </row>
    <row r="340" customHeight="1" spans="2:2">
      <c r="B340" s="48"/>
    </row>
    <row r="341" customHeight="1" spans="2:2">
      <c r="B341" s="48"/>
    </row>
    <row r="342" customHeight="1" spans="2:2">
      <c r="B342" s="48"/>
    </row>
    <row r="343" customHeight="1" spans="2:2">
      <c r="B343" s="48"/>
    </row>
    <row r="344" customHeight="1" spans="2:2">
      <c r="B344" s="48"/>
    </row>
    <row r="345" customHeight="1" spans="2:2">
      <c r="B345" s="48"/>
    </row>
    <row r="346" customHeight="1" spans="2:2">
      <c r="B346" s="48"/>
    </row>
    <row r="347" customHeight="1" spans="2:2">
      <c r="B347" s="48"/>
    </row>
    <row r="348" customHeight="1" spans="2:2">
      <c r="B348" s="48"/>
    </row>
    <row r="349" customHeight="1" spans="2:2">
      <c r="B349" s="48"/>
    </row>
    <row r="350" customHeight="1" spans="2:2">
      <c r="B350" s="48"/>
    </row>
    <row r="351" customHeight="1" spans="2:2">
      <c r="B351" s="48"/>
    </row>
    <row r="352" customHeight="1" spans="2:2">
      <c r="B352" s="48"/>
    </row>
    <row r="353" customHeight="1" spans="2:2">
      <c r="B353" s="48"/>
    </row>
    <row r="354" customHeight="1" spans="2:2">
      <c r="B354" s="48"/>
    </row>
    <row r="355" customHeight="1" spans="2:2">
      <c r="B355" s="48"/>
    </row>
    <row r="356" customHeight="1" spans="2:2">
      <c r="B356" s="48"/>
    </row>
    <row r="357" customHeight="1" spans="2:2">
      <c r="B357" s="48"/>
    </row>
    <row r="358" customHeight="1" spans="2:2">
      <c r="B358" s="48"/>
    </row>
    <row r="359" customHeight="1" spans="2:2">
      <c r="B359" s="48"/>
    </row>
    <row r="360" customHeight="1" spans="2:2">
      <c r="B360" s="48"/>
    </row>
    <row r="361" customHeight="1" spans="2:2">
      <c r="B361" s="48"/>
    </row>
    <row r="362" customHeight="1" spans="2:2">
      <c r="B362" s="48"/>
    </row>
    <row r="363" customHeight="1" spans="2:2">
      <c r="B363" s="48"/>
    </row>
    <row r="364" customHeight="1" spans="2:2">
      <c r="B364" s="48"/>
    </row>
    <row r="365" customHeight="1" spans="2:2">
      <c r="B365" s="48"/>
    </row>
    <row r="366" customHeight="1" spans="2:2">
      <c r="B366" s="48"/>
    </row>
    <row r="367" customHeight="1" spans="2:2">
      <c r="B367" s="48"/>
    </row>
    <row r="368" customHeight="1" spans="2:2">
      <c r="B368" s="48"/>
    </row>
    <row r="369" customHeight="1" spans="2:2">
      <c r="B369" s="48"/>
    </row>
    <row r="370" customHeight="1" spans="2:2">
      <c r="B370" s="48"/>
    </row>
    <row r="371" customHeight="1" spans="2:2">
      <c r="B371" s="48"/>
    </row>
    <row r="372" customHeight="1" spans="2:2">
      <c r="B372" s="48"/>
    </row>
    <row r="373" customHeight="1" spans="2:2">
      <c r="B373" s="48"/>
    </row>
    <row r="374" customHeight="1" spans="2:2">
      <c r="B374" s="48"/>
    </row>
    <row r="375" customHeight="1" spans="2:2">
      <c r="B375" s="48"/>
    </row>
    <row r="376" customHeight="1" spans="2:2">
      <c r="B376" s="48"/>
    </row>
    <row r="377" customHeight="1" spans="2:2">
      <c r="B377" s="48"/>
    </row>
    <row r="378" customHeight="1" spans="2:2">
      <c r="B378" s="48"/>
    </row>
    <row r="379" customHeight="1" spans="2:2">
      <c r="B379" s="48"/>
    </row>
    <row r="380" customHeight="1" spans="2:2">
      <c r="B380" s="48"/>
    </row>
    <row r="381" customHeight="1" spans="2:2">
      <c r="B381" s="48"/>
    </row>
    <row r="382" customHeight="1" spans="2:2">
      <c r="B382" s="48"/>
    </row>
    <row r="383" customHeight="1" spans="2:2">
      <c r="B383" s="48"/>
    </row>
    <row r="384" customHeight="1" spans="2:2">
      <c r="B384" s="48"/>
    </row>
    <row r="385" customHeight="1" spans="2:2">
      <c r="B385" s="48"/>
    </row>
    <row r="386" customHeight="1" spans="2:2">
      <c r="B386" s="48"/>
    </row>
    <row r="387" customHeight="1" spans="2:2">
      <c r="B387" s="48"/>
    </row>
    <row r="388" customHeight="1" spans="2:2">
      <c r="B388" s="48"/>
    </row>
    <row r="389" customHeight="1" spans="2:2">
      <c r="B389" s="48"/>
    </row>
    <row r="390" customHeight="1" spans="2:2">
      <c r="B390" s="48"/>
    </row>
    <row r="391" customHeight="1" spans="2:2">
      <c r="B391" s="48"/>
    </row>
    <row r="392" customHeight="1" spans="2:2">
      <c r="B392" s="48"/>
    </row>
    <row r="393" customHeight="1" spans="2:2">
      <c r="B393" s="48"/>
    </row>
    <row r="394" customHeight="1" spans="2:2">
      <c r="B394" s="48"/>
    </row>
    <row r="395" customHeight="1" spans="2:2">
      <c r="B395" s="48"/>
    </row>
    <row r="396" customHeight="1" spans="2:2">
      <c r="B396" s="48"/>
    </row>
    <row r="397" customHeight="1" spans="2:2">
      <c r="B397" s="48"/>
    </row>
    <row r="398" customHeight="1" spans="2:2">
      <c r="B398" s="48"/>
    </row>
    <row r="399" customHeight="1" spans="2:2">
      <c r="B399" s="48"/>
    </row>
    <row r="400" customHeight="1" spans="2:2">
      <c r="B400" s="48"/>
    </row>
    <row r="401" customHeight="1" spans="2:2">
      <c r="B401" s="48"/>
    </row>
    <row r="402" customHeight="1" spans="2:2">
      <c r="B402" s="48"/>
    </row>
    <row r="403" customHeight="1" spans="2:2">
      <c r="B403" s="48"/>
    </row>
    <row r="404" customHeight="1" spans="2:2">
      <c r="B404" s="48"/>
    </row>
    <row r="405" customHeight="1" spans="2:2">
      <c r="B405" s="48"/>
    </row>
    <row r="406" customHeight="1" spans="2:2">
      <c r="B406" s="48"/>
    </row>
    <row r="407" customHeight="1" spans="2:2">
      <c r="B407" s="48"/>
    </row>
    <row r="408" customHeight="1" spans="2:2">
      <c r="B408" s="48"/>
    </row>
    <row r="409" customHeight="1" spans="2:2">
      <c r="B409" s="48"/>
    </row>
    <row r="410" customHeight="1" spans="2:2">
      <c r="B410" s="48"/>
    </row>
    <row r="411" customHeight="1" spans="2:2">
      <c r="B411" s="48"/>
    </row>
    <row r="412" customHeight="1" spans="2:2">
      <c r="B412" s="48"/>
    </row>
    <row r="413" customHeight="1" spans="2:2">
      <c r="B413" s="48"/>
    </row>
    <row r="414" customHeight="1" spans="2:2">
      <c r="B414" s="48"/>
    </row>
    <row r="415" customHeight="1" spans="2:2">
      <c r="B415" s="48"/>
    </row>
    <row r="416" customHeight="1" spans="2:2">
      <c r="B416" s="48"/>
    </row>
    <row r="417" customHeight="1" spans="2:2">
      <c r="B417" s="48"/>
    </row>
    <row r="418" customHeight="1" spans="2:2">
      <c r="B418" s="48"/>
    </row>
    <row r="419" customHeight="1" spans="2:2">
      <c r="B419" s="48"/>
    </row>
    <row r="420" customHeight="1" spans="2:2">
      <c r="B420" s="48"/>
    </row>
    <row r="421" customHeight="1" spans="2:2">
      <c r="B421" s="48"/>
    </row>
    <row r="422" customHeight="1" spans="2:2">
      <c r="B422" s="48"/>
    </row>
    <row r="423" customHeight="1" spans="2:2">
      <c r="B423" s="48"/>
    </row>
    <row r="424" customHeight="1" spans="2:2">
      <c r="B424" s="48"/>
    </row>
    <row r="425" customHeight="1" spans="2:2">
      <c r="B425" s="48"/>
    </row>
    <row r="426" customHeight="1" spans="2:2">
      <c r="B426" s="48"/>
    </row>
    <row r="427" customHeight="1" spans="2:2">
      <c r="B427" s="48"/>
    </row>
    <row r="428" customHeight="1" spans="2:2">
      <c r="B428" s="48"/>
    </row>
    <row r="429" customHeight="1" spans="2:2">
      <c r="B429" s="48"/>
    </row>
    <row r="430" customHeight="1" spans="2:2">
      <c r="B430" s="48"/>
    </row>
    <row r="431" customHeight="1" spans="2:2">
      <c r="B431" s="48"/>
    </row>
    <row r="432" customHeight="1" spans="2:2">
      <c r="B432" s="48"/>
    </row>
    <row r="433" customHeight="1" spans="2:2">
      <c r="B433" s="48"/>
    </row>
    <row r="434" customHeight="1" spans="2:2">
      <c r="B434" s="48"/>
    </row>
    <row r="435" customHeight="1" spans="2:2">
      <c r="B435" s="48"/>
    </row>
    <row r="436" customHeight="1" spans="2:2">
      <c r="B436" s="48"/>
    </row>
    <row r="437" customHeight="1" spans="2:2">
      <c r="B437" s="48"/>
    </row>
    <row r="438" customHeight="1" spans="2:2">
      <c r="B438" s="48"/>
    </row>
    <row r="439" customHeight="1" spans="2:2">
      <c r="B439" s="48"/>
    </row>
    <row r="440" customHeight="1" spans="2:2">
      <c r="B440" s="48"/>
    </row>
    <row r="441" customHeight="1" spans="2:2">
      <c r="B441" s="48"/>
    </row>
    <row r="442" customHeight="1" spans="2:2">
      <c r="B442" s="48"/>
    </row>
    <row r="443" customHeight="1" spans="2:2">
      <c r="B443" s="48"/>
    </row>
    <row r="444" customHeight="1" spans="2:2">
      <c r="B444" s="48"/>
    </row>
    <row r="445" customHeight="1" spans="2:2">
      <c r="B445" s="48"/>
    </row>
    <row r="446" customHeight="1" spans="2:2">
      <c r="B446" s="48"/>
    </row>
    <row r="447" customHeight="1" spans="2:2">
      <c r="B447" s="48"/>
    </row>
    <row r="448" customHeight="1" spans="2:2">
      <c r="B448" s="48"/>
    </row>
    <row r="449" customHeight="1" spans="2:2">
      <c r="B449" s="48"/>
    </row>
    <row r="450" customHeight="1" spans="2:2">
      <c r="B450" s="48"/>
    </row>
    <row r="451" customHeight="1" spans="2:2">
      <c r="B451" s="48"/>
    </row>
    <row r="452" customHeight="1" spans="2:2">
      <c r="B452" s="48"/>
    </row>
    <row r="453" customHeight="1" spans="2:2">
      <c r="B453" s="48"/>
    </row>
    <row r="454" customHeight="1" spans="2:2">
      <c r="B454" s="48"/>
    </row>
    <row r="455" customHeight="1" spans="2:2">
      <c r="B455" s="48"/>
    </row>
    <row r="456" customHeight="1" spans="2:2">
      <c r="B456" s="48"/>
    </row>
    <row r="457" customHeight="1" spans="2:2">
      <c r="B457" s="48"/>
    </row>
    <row r="458" customHeight="1" spans="2:2">
      <c r="B458" s="48"/>
    </row>
    <row r="459" customHeight="1" spans="2:2">
      <c r="B459" s="48"/>
    </row>
    <row r="460" customHeight="1" spans="2:2">
      <c r="B460" s="48"/>
    </row>
    <row r="461" customHeight="1" spans="2:2">
      <c r="B461" s="48"/>
    </row>
    <row r="462" customHeight="1" spans="2:2">
      <c r="B462" s="48"/>
    </row>
    <row r="463" customHeight="1" spans="2:2">
      <c r="B463" s="48"/>
    </row>
    <row r="464" customHeight="1" spans="2:2">
      <c r="B464" s="48"/>
    </row>
    <row r="465" customHeight="1" spans="2:2">
      <c r="B465" s="48"/>
    </row>
    <row r="466" customHeight="1" spans="2:2">
      <c r="B466" s="48"/>
    </row>
    <row r="467" customHeight="1" spans="2:2">
      <c r="B467" s="48"/>
    </row>
    <row r="468" customHeight="1" spans="2:2">
      <c r="B468" s="48"/>
    </row>
    <row r="469" customHeight="1" spans="2:2">
      <c r="B469" s="48"/>
    </row>
    <row r="470" customHeight="1" spans="2:2">
      <c r="B470" s="48"/>
    </row>
    <row r="471" customHeight="1" spans="2:2">
      <c r="B471" s="48"/>
    </row>
    <row r="472" customHeight="1" spans="2:2">
      <c r="B472" s="48"/>
    </row>
    <row r="473" customHeight="1" spans="2:2">
      <c r="B473" s="48"/>
    </row>
    <row r="474" customHeight="1" spans="2:2">
      <c r="B474" s="48"/>
    </row>
    <row r="475" customHeight="1" spans="2:2">
      <c r="B475" s="48"/>
    </row>
    <row r="476" customHeight="1" spans="2:2">
      <c r="B476" s="48"/>
    </row>
    <row r="477" customHeight="1" spans="2:2">
      <c r="B477" s="48"/>
    </row>
    <row r="478" customHeight="1" spans="2:2">
      <c r="B478" s="48"/>
    </row>
    <row r="479" customHeight="1" spans="2:2">
      <c r="B479" s="48"/>
    </row>
    <row r="480" customHeight="1" spans="2:2">
      <c r="B480" s="48"/>
    </row>
    <row r="481" customHeight="1" spans="2:2">
      <c r="B481" s="48"/>
    </row>
    <row r="482" customHeight="1" spans="2:2">
      <c r="B482" s="48"/>
    </row>
    <row r="483" customHeight="1" spans="2:2">
      <c r="B483" s="48"/>
    </row>
    <row r="484" customHeight="1" spans="2:2">
      <c r="B484" s="48"/>
    </row>
    <row r="485" customHeight="1" spans="2:2">
      <c r="B485" s="48"/>
    </row>
    <row r="486" customHeight="1" spans="2:2">
      <c r="B486" s="48"/>
    </row>
    <row r="487" customHeight="1" spans="2:2">
      <c r="B487" s="48"/>
    </row>
    <row r="488" customHeight="1" spans="2:2">
      <c r="B488" s="48"/>
    </row>
    <row r="489" customHeight="1" spans="2:2">
      <c r="B489" s="48"/>
    </row>
    <row r="490" customHeight="1" spans="2:2">
      <c r="B490" s="48"/>
    </row>
    <row r="491" customHeight="1" spans="2:2">
      <c r="B491" s="48"/>
    </row>
    <row r="492" customHeight="1" spans="2:2">
      <c r="B492" s="48"/>
    </row>
    <row r="493" customHeight="1" spans="2:2">
      <c r="B493" s="48"/>
    </row>
    <row r="494" customHeight="1" spans="2:2">
      <c r="B494" s="48"/>
    </row>
    <row r="495" customHeight="1" spans="2:2">
      <c r="B495" s="48"/>
    </row>
    <row r="496" customHeight="1" spans="2:2">
      <c r="B496" s="48"/>
    </row>
    <row r="497" customHeight="1" spans="2:2">
      <c r="B497" s="48"/>
    </row>
    <row r="498" customHeight="1" spans="2:2">
      <c r="B498" s="48"/>
    </row>
    <row r="499" customHeight="1" spans="2:2">
      <c r="B499" s="48"/>
    </row>
    <row r="500" customHeight="1" spans="2:2">
      <c r="B500" s="48"/>
    </row>
    <row r="501" customHeight="1" spans="2:2">
      <c r="B501" s="48"/>
    </row>
    <row r="502" customHeight="1" spans="2:2">
      <c r="B502" s="48"/>
    </row>
    <row r="503" customHeight="1" spans="2:2">
      <c r="B503" s="48"/>
    </row>
    <row r="504" customHeight="1" spans="2:2">
      <c r="B504" s="48"/>
    </row>
    <row r="505" customHeight="1" spans="2:2">
      <c r="B505" s="48"/>
    </row>
    <row r="506" customHeight="1" spans="2:2">
      <c r="B506" s="48"/>
    </row>
    <row r="507" customHeight="1" spans="2:2">
      <c r="B507" s="48"/>
    </row>
    <row r="508" customHeight="1" spans="2:2">
      <c r="B508" s="48"/>
    </row>
    <row r="509" customHeight="1" spans="2:2">
      <c r="B509" s="48"/>
    </row>
    <row r="510" customHeight="1" spans="2:2">
      <c r="B510" s="48"/>
    </row>
    <row r="511" customHeight="1" spans="2:2">
      <c r="B511" s="48"/>
    </row>
    <row r="512" customHeight="1" spans="2:2">
      <c r="B512" s="48"/>
    </row>
    <row r="513" customHeight="1" spans="2:2">
      <c r="B513" s="48"/>
    </row>
    <row r="514" customHeight="1" spans="2:2">
      <c r="B514" s="48"/>
    </row>
    <row r="515" customHeight="1" spans="2:2">
      <c r="B515" s="48"/>
    </row>
    <row r="516" customHeight="1" spans="2:2">
      <c r="B516" s="48"/>
    </row>
    <row r="517" customHeight="1" spans="2:2">
      <c r="B517" s="48"/>
    </row>
    <row r="518" customHeight="1" spans="2:2">
      <c r="B518" s="48"/>
    </row>
    <row r="519" customHeight="1" spans="2:2">
      <c r="B519" s="48"/>
    </row>
    <row r="520" customHeight="1" spans="2:2">
      <c r="B520" s="48"/>
    </row>
    <row r="521" customHeight="1" spans="2:2">
      <c r="B521" s="48"/>
    </row>
    <row r="522" customHeight="1" spans="2:2">
      <c r="B522" s="48"/>
    </row>
    <row r="523" customHeight="1" spans="2:2">
      <c r="B523" s="48"/>
    </row>
    <row r="524" customHeight="1" spans="2:2">
      <c r="B524" s="48"/>
    </row>
    <row r="525" customHeight="1" spans="2:2">
      <c r="B525" s="48"/>
    </row>
    <row r="526" customHeight="1" spans="2:2">
      <c r="B526" s="48"/>
    </row>
    <row r="527" customHeight="1" spans="2:2">
      <c r="B527" s="48"/>
    </row>
    <row r="528" customHeight="1" spans="2:2">
      <c r="B528" s="48"/>
    </row>
    <row r="529" customHeight="1" spans="2:2">
      <c r="B529" s="48"/>
    </row>
    <row r="530" customHeight="1" spans="2:2">
      <c r="B530" s="48"/>
    </row>
    <row r="531" customHeight="1" spans="2:2">
      <c r="B531" s="48"/>
    </row>
    <row r="532" customHeight="1" spans="2:2">
      <c r="B532" s="48"/>
    </row>
    <row r="533" customHeight="1" spans="2:2">
      <c r="B533" s="48"/>
    </row>
    <row r="534" customHeight="1" spans="2:2">
      <c r="B534" s="48"/>
    </row>
    <row r="535" customHeight="1" spans="2:2">
      <c r="B535" s="48"/>
    </row>
    <row r="536" customHeight="1" spans="2:2">
      <c r="B536" s="48"/>
    </row>
    <row r="537" customHeight="1" spans="2:2">
      <c r="B537" s="48"/>
    </row>
    <row r="538" customHeight="1" spans="2:2">
      <c r="B538" s="48"/>
    </row>
    <row r="539" customHeight="1" spans="2:2">
      <c r="B539" s="48"/>
    </row>
    <row r="540" customHeight="1" spans="2:2">
      <c r="B540" s="48"/>
    </row>
    <row r="541" customHeight="1" spans="2:2">
      <c r="B541" s="48"/>
    </row>
    <row r="542" customHeight="1" spans="2:2">
      <c r="B542" s="48"/>
    </row>
    <row r="543" customHeight="1" spans="2:2">
      <c r="B543" s="48"/>
    </row>
    <row r="544" customHeight="1" spans="2:2">
      <c r="B544" s="48"/>
    </row>
    <row r="545" customHeight="1" spans="2:2">
      <c r="B545" s="48"/>
    </row>
    <row r="546" customHeight="1" spans="2:2">
      <c r="B546" s="48"/>
    </row>
    <row r="547" customHeight="1" spans="2:2">
      <c r="B547" s="48"/>
    </row>
    <row r="548" customHeight="1" spans="2:2">
      <c r="B548" s="48"/>
    </row>
    <row r="549" customHeight="1" spans="2:2">
      <c r="B549" s="48"/>
    </row>
    <row r="550" customHeight="1" spans="2:2">
      <c r="B550" s="48"/>
    </row>
    <row r="551" customHeight="1" spans="2:2">
      <c r="B551" s="48"/>
    </row>
    <row r="552" customHeight="1" spans="2:2">
      <c r="B552" s="48"/>
    </row>
    <row r="553" customHeight="1" spans="2:2">
      <c r="B553" s="48"/>
    </row>
    <row r="554" customHeight="1" spans="2:2">
      <c r="B554" s="48"/>
    </row>
    <row r="555" customHeight="1" spans="2:2">
      <c r="B555" s="48"/>
    </row>
    <row r="556" customHeight="1" spans="2:2">
      <c r="B556" s="48"/>
    </row>
    <row r="557" customHeight="1" spans="2:2">
      <c r="B557" s="48"/>
    </row>
    <row r="558" customHeight="1" spans="2:2">
      <c r="B558" s="48"/>
    </row>
    <row r="559" customHeight="1" spans="2:2">
      <c r="B559" s="48"/>
    </row>
    <row r="560" customHeight="1" spans="2:2">
      <c r="B560" s="48"/>
    </row>
    <row r="561" customHeight="1" spans="2:2">
      <c r="B561" s="48"/>
    </row>
    <row r="562" customHeight="1" spans="2:2">
      <c r="B562" s="48"/>
    </row>
    <row r="563" customHeight="1" spans="2:2">
      <c r="B563" s="48"/>
    </row>
    <row r="564" customHeight="1" spans="2:2">
      <c r="B564" s="48"/>
    </row>
    <row r="565" customHeight="1" spans="2:2">
      <c r="B565" s="48"/>
    </row>
    <row r="566" customHeight="1" spans="2:2">
      <c r="B566" s="48"/>
    </row>
    <row r="567" customHeight="1" spans="2:2">
      <c r="B567" s="48"/>
    </row>
    <row r="568" customHeight="1" spans="2:2">
      <c r="B568" s="48"/>
    </row>
    <row r="569" customHeight="1" spans="2:2">
      <c r="B569" s="48"/>
    </row>
    <row r="570" customHeight="1" spans="2:2">
      <c r="B570" s="48"/>
    </row>
    <row r="571" customHeight="1" spans="2:2">
      <c r="B571" s="48"/>
    </row>
    <row r="572" customHeight="1" spans="2:2">
      <c r="B572" s="48"/>
    </row>
    <row r="573" customHeight="1" spans="2:2">
      <c r="B573" s="48"/>
    </row>
    <row r="574" customHeight="1" spans="2:2">
      <c r="B574" s="48"/>
    </row>
    <row r="575" customHeight="1" spans="2:2">
      <c r="B575" s="48"/>
    </row>
    <row r="576" customHeight="1" spans="2:2">
      <c r="B576" s="48"/>
    </row>
    <row r="577" customHeight="1" spans="2:2">
      <c r="B577" s="48"/>
    </row>
    <row r="578" customHeight="1" spans="2:2">
      <c r="B578" s="48"/>
    </row>
    <row r="579" customHeight="1" spans="2:2">
      <c r="B579" s="48"/>
    </row>
    <row r="580" customHeight="1" spans="2:2">
      <c r="B580" s="48"/>
    </row>
    <row r="581" customHeight="1" spans="2:2">
      <c r="B581" s="48"/>
    </row>
    <row r="582" customHeight="1" spans="2:2">
      <c r="B582" s="48"/>
    </row>
    <row r="583" customHeight="1" spans="2:2">
      <c r="B583" s="48"/>
    </row>
    <row r="584" customHeight="1" spans="2:2">
      <c r="B584" s="48"/>
    </row>
    <row r="585" customHeight="1" spans="2:2">
      <c r="B585" s="48"/>
    </row>
    <row r="586" customHeight="1" spans="2:2">
      <c r="B586" s="48"/>
    </row>
    <row r="587" customHeight="1" spans="2:2">
      <c r="B587" s="48"/>
    </row>
    <row r="588" customHeight="1" spans="2:2">
      <c r="B588" s="48"/>
    </row>
    <row r="589" customHeight="1" spans="2:2">
      <c r="B589" s="48"/>
    </row>
    <row r="590" customHeight="1" spans="2:2">
      <c r="B590" s="48"/>
    </row>
    <row r="591" customHeight="1" spans="2:2">
      <c r="B591" s="48"/>
    </row>
    <row r="592" customHeight="1" spans="2:2">
      <c r="B592" s="48"/>
    </row>
    <row r="593" customHeight="1" spans="2:2">
      <c r="B593" s="48"/>
    </row>
    <row r="594" customHeight="1" spans="2:2">
      <c r="B594" s="48"/>
    </row>
    <row r="595" customHeight="1" spans="2:2">
      <c r="B595" s="48"/>
    </row>
    <row r="596" customHeight="1" spans="2:2">
      <c r="B596" s="48"/>
    </row>
    <row r="597" customHeight="1" spans="2:2">
      <c r="B597" s="48"/>
    </row>
    <row r="598" customHeight="1" spans="2:2">
      <c r="B598" s="48"/>
    </row>
    <row r="599" customHeight="1" spans="2:2">
      <c r="B599" s="48"/>
    </row>
    <row r="600" customHeight="1" spans="2:2">
      <c r="B600" s="48"/>
    </row>
    <row r="601" customHeight="1" spans="2:2">
      <c r="B601" s="48"/>
    </row>
    <row r="602" customHeight="1" spans="2:2">
      <c r="B602" s="48"/>
    </row>
    <row r="603" customHeight="1" spans="2:2">
      <c r="B603" s="48"/>
    </row>
    <row r="604" customHeight="1" spans="2:2">
      <c r="B604" s="48"/>
    </row>
    <row r="605" customHeight="1" spans="2:2">
      <c r="B605" s="48"/>
    </row>
    <row r="606" customHeight="1" spans="2:2">
      <c r="B606" s="48"/>
    </row>
    <row r="607" customHeight="1" spans="2:2">
      <c r="B607" s="48"/>
    </row>
    <row r="608" customHeight="1" spans="2:2">
      <c r="B608" s="48"/>
    </row>
    <row r="609" customHeight="1" spans="2:2">
      <c r="B609" s="48"/>
    </row>
    <row r="610" customHeight="1" spans="2:2">
      <c r="B610" s="48"/>
    </row>
    <row r="611" customHeight="1" spans="2:2">
      <c r="B611" s="48"/>
    </row>
    <row r="612" customHeight="1" spans="2:2">
      <c r="B612" s="48"/>
    </row>
    <row r="613" customHeight="1" spans="2:2">
      <c r="B613" s="48"/>
    </row>
    <row r="614" customHeight="1" spans="2:2">
      <c r="B614" s="48"/>
    </row>
    <row r="615" customHeight="1" spans="2:2">
      <c r="B615" s="48"/>
    </row>
    <row r="616" customHeight="1" spans="2:2">
      <c r="B616" s="48"/>
    </row>
    <row r="617" customHeight="1" spans="2:2">
      <c r="B617" s="48"/>
    </row>
    <row r="618" customHeight="1" spans="2:2">
      <c r="B618" s="48"/>
    </row>
    <row r="619" customHeight="1" spans="2:2">
      <c r="B619" s="48"/>
    </row>
    <row r="620" customHeight="1" spans="2:2">
      <c r="B620" s="48"/>
    </row>
    <row r="621" customHeight="1" spans="2:2">
      <c r="B621" s="48"/>
    </row>
    <row r="622" customHeight="1" spans="2:2">
      <c r="B622" s="48"/>
    </row>
    <row r="623" customHeight="1" spans="2:2">
      <c r="B623" s="48"/>
    </row>
    <row r="624" customHeight="1" spans="2:2">
      <c r="B624" s="48"/>
    </row>
    <row r="625" customHeight="1" spans="2:2">
      <c r="B625" s="48"/>
    </row>
    <row r="626" customHeight="1" spans="2:2">
      <c r="B626" s="48"/>
    </row>
    <row r="627" customHeight="1" spans="2:2">
      <c r="B627" s="48"/>
    </row>
    <row r="628" customHeight="1" spans="2:2">
      <c r="B628" s="48"/>
    </row>
    <row r="629" customHeight="1" spans="2:2">
      <c r="B629" s="48"/>
    </row>
    <row r="630" customHeight="1" spans="2:2">
      <c r="B630" s="48"/>
    </row>
    <row r="631" customHeight="1" spans="2:2">
      <c r="B631" s="48"/>
    </row>
    <row r="632" customHeight="1" spans="2:2">
      <c r="B632" s="48"/>
    </row>
    <row r="633" customHeight="1" spans="2:2">
      <c r="B633" s="48"/>
    </row>
    <row r="634" customHeight="1" spans="2:2">
      <c r="B634" s="48"/>
    </row>
    <row r="635" customHeight="1" spans="2:2">
      <c r="B635" s="48"/>
    </row>
    <row r="636" customHeight="1" spans="2:2">
      <c r="B636" s="48"/>
    </row>
    <row r="637" customHeight="1" spans="2:2">
      <c r="B637" s="48"/>
    </row>
    <row r="638" customHeight="1" spans="2:2">
      <c r="B638" s="48"/>
    </row>
    <row r="639" customHeight="1" spans="2:2">
      <c r="B639" s="48"/>
    </row>
    <row r="640" customHeight="1" spans="2:2">
      <c r="B640" s="48"/>
    </row>
    <row r="641" customHeight="1" spans="2:2">
      <c r="B641" s="48"/>
    </row>
    <row r="642" customHeight="1" spans="2:2">
      <c r="B642" s="48"/>
    </row>
    <row r="643" customHeight="1" spans="2:2">
      <c r="B643" s="48"/>
    </row>
    <row r="644" customHeight="1" spans="2:2">
      <c r="B644" s="48"/>
    </row>
    <row r="645" customHeight="1" spans="2:2">
      <c r="B645" s="48"/>
    </row>
    <row r="646" customHeight="1" spans="2:2">
      <c r="B646" s="48"/>
    </row>
    <row r="647" customHeight="1" spans="2:2">
      <c r="B647" s="48"/>
    </row>
    <row r="648" customHeight="1" spans="2:2">
      <c r="B648" s="48"/>
    </row>
    <row r="649" customHeight="1" spans="2:2">
      <c r="B649" s="48"/>
    </row>
    <row r="650" customHeight="1" spans="2:2">
      <c r="B650" s="48"/>
    </row>
    <row r="651" customHeight="1" spans="2:2">
      <c r="B651" s="48"/>
    </row>
    <row r="652" customHeight="1" spans="2:2">
      <c r="B652" s="48"/>
    </row>
    <row r="653" customHeight="1" spans="2:2">
      <c r="B653" s="48"/>
    </row>
    <row r="654" customHeight="1" spans="2:2">
      <c r="B654" s="48"/>
    </row>
    <row r="655" customHeight="1" spans="2:2">
      <c r="B655" s="48"/>
    </row>
    <row r="656" customHeight="1" spans="2:2">
      <c r="B656" s="48"/>
    </row>
    <row r="657" customHeight="1" spans="2:2">
      <c r="B657" s="48"/>
    </row>
    <row r="658" customHeight="1" spans="2:2">
      <c r="B658" s="48"/>
    </row>
    <row r="659" customHeight="1" spans="2:2">
      <c r="B659" s="48"/>
    </row>
    <row r="660" customHeight="1" spans="2:2">
      <c r="B660" s="48"/>
    </row>
    <row r="661" customHeight="1" spans="2:2">
      <c r="B661" s="48"/>
    </row>
    <row r="662" customHeight="1" spans="2:2">
      <c r="B662" s="48"/>
    </row>
    <row r="663" customHeight="1" spans="2:2">
      <c r="B663" s="48"/>
    </row>
    <row r="664" customHeight="1" spans="2:2">
      <c r="B664" s="48"/>
    </row>
    <row r="665" customHeight="1" spans="2:2">
      <c r="B665" s="48"/>
    </row>
    <row r="666" customHeight="1" spans="2:2">
      <c r="B666" s="48"/>
    </row>
    <row r="667" customHeight="1" spans="2:2">
      <c r="B667" s="48"/>
    </row>
    <row r="668" customHeight="1" spans="2:2">
      <c r="B668" s="48"/>
    </row>
    <row r="669" customHeight="1" spans="2:2">
      <c r="B669" s="48"/>
    </row>
    <row r="670" customHeight="1" spans="2:2">
      <c r="B670" s="48"/>
    </row>
    <row r="671" customHeight="1" spans="2:2">
      <c r="B671" s="48"/>
    </row>
    <row r="672" customHeight="1" spans="2:2">
      <c r="B672" s="48"/>
    </row>
    <row r="673" customHeight="1" spans="2:2">
      <c r="B673" s="48"/>
    </row>
    <row r="674" customHeight="1" spans="2:2">
      <c r="B674" s="48"/>
    </row>
    <row r="675" customHeight="1" spans="2:2">
      <c r="B675" s="48"/>
    </row>
    <row r="676" customHeight="1" spans="2:2">
      <c r="B676" s="48"/>
    </row>
    <row r="677" customHeight="1" spans="2:2">
      <c r="B677" s="48"/>
    </row>
    <row r="678" customHeight="1" spans="2:2">
      <c r="B678" s="48"/>
    </row>
    <row r="679" customHeight="1" spans="2:2">
      <c r="B679" s="48"/>
    </row>
    <row r="680" customHeight="1" spans="2:2">
      <c r="B680" s="48"/>
    </row>
    <row r="681" customHeight="1" spans="2:2">
      <c r="B681" s="48"/>
    </row>
    <row r="682" customHeight="1" spans="2:2">
      <c r="B682" s="48"/>
    </row>
    <row r="683" customHeight="1" spans="2:2">
      <c r="B683" s="48"/>
    </row>
    <row r="684" customHeight="1" spans="2:2">
      <c r="B684" s="48"/>
    </row>
    <row r="685" customHeight="1" spans="2:2">
      <c r="B685" s="48"/>
    </row>
    <row r="686" customHeight="1" spans="2:2">
      <c r="B686" s="48"/>
    </row>
    <row r="687" customHeight="1" spans="2:2">
      <c r="B687" s="48"/>
    </row>
    <row r="688" customHeight="1" spans="2:2">
      <c r="B688" s="48"/>
    </row>
    <row r="689" customHeight="1" spans="2:2">
      <c r="B689" s="48"/>
    </row>
    <row r="690" customHeight="1" spans="2:2">
      <c r="B690" s="48"/>
    </row>
    <row r="691" customHeight="1" spans="2:2">
      <c r="B691" s="48"/>
    </row>
    <row r="692" customHeight="1" spans="2:2">
      <c r="B692" s="48"/>
    </row>
    <row r="693" customHeight="1" spans="2:2">
      <c r="B693" s="48"/>
    </row>
    <row r="694" customHeight="1" spans="2:2">
      <c r="B694" s="48"/>
    </row>
    <row r="695" customHeight="1" spans="2:2">
      <c r="B695" s="48"/>
    </row>
    <row r="696" customHeight="1" spans="2:2">
      <c r="B696" s="48"/>
    </row>
    <row r="697" customHeight="1" spans="2:2">
      <c r="B697" s="48"/>
    </row>
    <row r="698" customHeight="1" spans="2:2">
      <c r="B698" s="48"/>
    </row>
    <row r="699" customHeight="1" spans="2:2">
      <c r="B699" s="48"/>
    </row>
    <row r="700" customHeight="1" spans="2:2">
      <c r="B700" s="48"/>
    </row>
    <row r="701" customHeight="1" spans="2:2">
      <c r="B701" s="48"/>
    </row>
    <row r="702" customHeight="1" spans="2:2">
      <c r="B702" s="48"/>
    </row>
    <row r="703" customHeight="1" spans="2:2">
      <c r="B703" s="48"/>
    </row>
    <row r="704" customHeight="1" spans="2:2">
      <c r="B704" s="48"/>
    </row>
    <row r="705" customHeight="1" spans="2:2">
      <c r="B705" s="48"/>
    </row>
    <row r="706" customHeight="1" spans="2:2">
      <c r="B706" s="48"/>
    </row>
    <row r="707" customHeight="1" spans="2:2">
      <c r="B707" s="48"/>
    </row>
    <row r="708" customHeight="1" spans="2:2">
      <c r="B708" s="48"/>
    </row>
    <row r="709" customHeight="1" spans="2:2">
      <c r="B709" s="48"/>
    </row>
    <row r="710" customHeight="1" spans="2:2">
      <c r="B710" s="48"/>
    </row>
    <row r="711" customHeight="1" spans="2:2">
      <c r="B711" s="48"/>
    </row>
    <row r="712" customHeight="1" spans="2:2">
      <c r="B712" s="48"/>
    </row>
    <row r="713" customHeight="1" spans="2:2">
      <c r="B713" s="48"/>
    </row>
    <row r="714" customHeight="1" spans="2:2">
      <c r="B714" s="48"/>
    </row>
    <row r="715" customHeight="1" spans="2:2">
      <c r="B715" s="48"/>
    </row>
    <row r="716" customHeight="1" spans="2:2">
      <c r="B716" s="48"/>
    </row>
    <row r="717" customHeight="1" spans="2:2">
      <c r="B717" s="48"/>
    </row>
    <row r="718" customHeight="1" spans="2:2">
      <c r="B718" s="48"/>
    </row>
    <row r="719" customHeight="1" spans="2:2">
      <c r="B719" s="48"/>
    </row>
    <row r="720" customHeight="1" spans="2:2">
      <c r="B720" s="48"/>
    </row>
    <row r="721" customHeight="1" spans="2:2">
      <c r="B721" s="48"/>
    </row>
    <row r="722" customHeight="1" spans="2:2">
      <c r="B722" s="48"/>
    </row>
    <row r="723" customHeight="1" spans="2:2">
      <c r="B723" s="48"/>
    </row>
    <row r="724" customHeight="1" spans="2:2">
      <c r="B724" s="48"/>
    </row>
    <row r="725" customHeight="1" spans="2:2">
      <c r="B725" s="48"/>
    </row>
    <row r="726" customHeight="1" spans="2:2">
      <c r="B726" s="48"/>
    </row>
    <row r="727" customHeight="1" spans="2:2">
      <c r="B727" s="48"/>
    </row>
    <row r="728" customHeight="1" spans="2:2">
      <c r="B728" s="48"/>
    </row>
    <row r="729" customHeight="1" spans="2:2">
      <c r="B729" s="48"/>
    </row>
    <row r="730" customHeight="1" spans="2:2">
      <c r="B730" s="48"/>
    </row>
    <row r="731" customHeight="1" spans="2:2">
      <c r="B731" s="48"/>
    </row>
    <row r="732" customHeight="1" spans="2:2">
      <c r="B732" s="48"/>
    </row>
    <row r="733" customHeight="1" spans="2:2">
      <c r="B733" s="48"/>
    </row>
    <row r="734" customHeight="1" spans="2:2">
      <c r="B734" s="48"/>
    </row>
    <row r="735" customHeight="1" spans="2:2">
      <c r="B735" s="48"/>
    </row>
    <row r="736" customHeight="1" spans="2:2">
      <c r="B736" s="48"/>
    </row>
    <row r="737" customHeight="1" spans="2:2">
      <c r="B737" s="48"/>
    </row>
    <row r="738" customHeight="1" spans="2:2">
      <c r="B738" s="48"/>
    </row>
    <row r="739" customHeight="1" spans="2:2">
      <c r="B739" s="48"/>
    </row>
    <row r="740" customHeight="1" spans="2:2">
      <c r="B740" s="48"/>
    </row>
    <row r="741" customHeight="1" spans="2:2">
      <c r="B741" s="48"/>
    </row>
    <row r="742" customHeight="1" spans="2:2">
      <c r="B742" s="48"/>
    </row>
    <row r="743" customHeight="1" spans="2:2">
      <c r="B743" s="48"/>
    </row>
    <row r="744" customHeight="1" spans="2:2">
      <c r="B744" s="48"/>
    </row>
    <row r="745" customHeight="1" spans="2:2">
      <c r="B745" s="48"/>
    </row>
    <row r="746" customHeight="1" spans="2:2">
      <c r="B746" s="48"/>
    </row>
    <row r="747" customHeight="1" spans="2:2">
      <c r="B747" s="48"/>
    </row>
    <row r="748" customHeight="1" spans="2:2">
      <c r="B748" s="48"/>
    </row>
    <row r="749" customHeight="1" spans="2:2">
      <c r="B749" s="48"/>
    </row>
    <row r="750" customHeight="1" spans="2:2">
      <c r="B750" s="48"/>
    </row>
    <row r="751" customHeight="1" spans="2:2">
      <c r="B751" s="48"/>
    </row>
    <row r="752" customHeight="1" spans="2:2">
      <c r="B752" s="48"/>
    </row>
    <row r="753" customHeight="1" spans="2:2">
      <c r="B753" s="48"/>
    </row>
    <row r="754" customHeight="1" spans="2:2">
      <c r="B754" s="48"/>
    </row>
    <row r="755" customHeight="1" spans="2:2">
      <c r="B755" s="48"/>
    </row>
    <row r="756" customHeight="1" spans="2:2">
      <c r="B756" s="48"/>
    </row>
    <row r="757" customHeight="1" spans="2:2">
      <c r="B757" s="48"/>
    </row>
    <row r="758" customHeight="1" spans="2:2">
      <c r="B758" s="48"/>
    </row>
    <row r="759" customHeight="1" spans="2:2">
      <c r="B759" s="48"/>
    </row>
    <row r="760" customHeight="1" spans="2:2">
      <c r="B760" s="48"/>
    </row>
    <row r="761" customHeight="1" spans="2:2">
      <c r="B761" s="48"/>
    </row>
    <row r="762" customHeight="1" spans="2:2">
      <c r="B762" s="48"/>
    </row>
    <row r="763" customHeight="1" spans="2:2">
      <c r="B763" s="48"/>
    </row>
    <row r="764" customHeight="1" spans="2:2">
      <c r="B764" s="48"/>
    </row>
    <row r="765" customHeight="1" spans="2:2">
      <c r="B765" s="48"/>
    </row>
    <row r="766" customHeight="1" spans="2:2">
      <c r="B766" s="48"/>
    </row>
    <row r="767" customHeight="1" spans="2:2">
      <c r="B767" s="48"/>
    </row>
    <row r="768" customHeight="1" spans="2:2">
      <c r="B768" s="48"/>
    </row>
    <row r="769" customHeight="1" spans="2:2">
      <c r="B769" s="48"/>
    </row>
    <row r="770" customHeight="1" spans="2:2">
      <c r="B770" s="48"/>
    </row>
    <row r="771" customHeight="1" spans="2:2">
      <c r="B771" s="48"/>
    </row>
    <row r="772" customHeight="1" spans="2:2">
      <c r="B772" s="48"/>
    </row>
    <row r="773" customHeight="1" spans="2:2">
      <c r="B773" s="48"/>
    </row>
    <row r="774" customHeight="1" spans="2:2">
      <c r="B774" s="48"/>
    </row>
    <row r="775" customHeight="1" spans="2:2">
      <c r="B775" s="48"/>
    </row>
    <row r="776" customHeight="1" spans="2:2">
      <c r="B776" s="48"/>
    </row>
    <row r="777" customHeight="1" spans="2:2">
      <c r="B777" s="48"/>
    </row>
    <row r="778" customHeight="1" spans="2:2">
      <c r="B778" s="48"/>
    </row>
    <row r="779" customHeight="1" spans="2:2">
      <c r="B779" s="48"/>
    </row>
    <row r="780" customHeight="1" spans="2:2">
      <c r="B780" s="48"/>
    </row>
    <row r="781" customHeight="1" spans="2:2">
      <c r="B781" s="48"/>
    </row>
    <row r="782" customHeight="1" spans="2:2">
      <c r="B782" s="48"/>
    </row>
    <row r="783" customHeight="1" spans="2:2">
      <c r="B783" s="48"/>
    </row>
    <row r="784" customHeight="1" spans="2:2">
      <c r="B784" s="48"/>
    </row>
    <row r="785" customHeight="1" spans="2:2">
      <c r="B785" s="48"/>
    </row>
    <row r="786" customHeight="1" spans="2:2">
      <c r="B786" s="48"/>
    </row>
    <row r="787" customHeight="1" spans="2:2">
      <c r="B787" s="48"/>
    </row>
    <row r="788" customHeight="1" spans="2:2">
      <c r="B788" s="48"/>
    </row>
    <row r="789" customHeight="1" spans="2:2">
      <c r="B789" s="48"/>
    </row>
    <row r="790" customHeight="1" spans="2:2">
      <c r="B790" s="48"/>
    </row>
    <row r="791" customHeight="1" spans="2:2">
      <c r="B791" s="48"/>
    </row>
    <row r="792" customHeight="1" spans="2:2">
      <c r="B792" s="48"/>
    </row>
    <row r="793" customHeight="1" spans="2:2">
      <c r="B793" s="48"/>
    </row>
    <row r="794" customHeight="1" spans="2:2">
      <c r="B794" s="48"/>
    </row>
    <row r="795" customHeight="1" spans="2:2">
      <c r="B795" s="48"/>
    </row>
    <row r="796" customHeight="1" spans="2:2">
      <c r="B796" s="48"/>
    </row>
    <row r="797" customHeight="1" spans="2:2">
      <c r="B797" s="48"/>
    </row>
    <row r="798" customHeight="1" spans="2:2">
      <c r="B798" s="48"/>
    </row>
    <row r="799" customHeight="1" spans="2:2">
      <c r="B799" s="48"/>
    </row>
    <row r="800" customHeight="1" spans="2:2">
      <c r="B800" s="48"/>
    </row>
    <row r="801" customHeight="1" spans="2:2">
      <c r="B801" s="48"/>
    </row>
    <row r="802" customHeight="1" spans="2:2">
      <c r="B802" s="48"/>
    </row>
    <row r="803" customHeight="1" spans="2:2">
      <c r="B803" s="48"/>
    </row>
    <row r="804" customHeight="1" spans="2:2">
      <c r="B804" s="48"/>
    </row>
    <row r="805" customHeight="1" spans="2:2">
      <c r="B805" s="48"/>
    </row>
    <row r="806" customHeight="1" spans="2:2">
      <c r="B806" s="48"/>
    </row>
    <row r="807" customHeight="1" spans="2:2">
      <c r="B807" s="48"/>
    </row>
    <row r="808" customHeight="1" spans="2:2">
      <c r="B808" s="48"/>
    </row>
    <row r="809" customHeight="1" spans="2:2">
      <c r="B809" s="48"/>
    </row>
    <row r="810" customHeight="1" spans="2:2">
      <c r="B810" s="48"/>
    </row>
    <row r="811" customHeight="1" spans="2:2">
      <c r="B811" s="48"/>
    </row>
    <row r="812" customHeight="1" spans="2:2">
      <c r="B812" s="48"/>
    </row>
    <row r="813" customHeight="1" spans="2:2">
      <c r="B813" s="48"/>
    </row>
    <row r="814" customHeight="1" spans="2:2">
      <c r="B814" s="48"/>
    </row>
    <row r="815" customHeight="1" spans="2:2">
      <c r="B815" s="48"/>
    </row>
    <row r="816" customHeight="1" spans="2:2">
      <c r="B816" s="48"/>
    </row>
    <row r="817" customHeight="1" spans="2:2">
      <c r="B817" s="48"/>
    </row>
    <row r="818" customHeight="1" spans="2:2">
      <c r="B818" s="48"/>
    </row>
    <row r="819" customHeight="1" spans="2:2">
      <c r="B819" s="48"/>
    </row>
    <row r="820" customHeight="1" spans="2:2">
      <c r="B820" s="48"/>
    </row>
    <row r="821" customHeight="1" spans="2:2">
      <c r="B821" s="48"/>
    </row>
    <row r="822" customHeight="1" spans="2:2">
      <c r="B822" s="48"/>
    </row>
    <row r="823" customHeight="1" spans="2:2">
      <c r="B823" s="48"/>
    </row>
    <row r="824" customHeight="1" spans="2:2">
      <c r="B824" s="48"/>
    </row>
    <row r="825" customHeight="1" spans="2:2">
      <c r="B825" s="48"/>
    </row>
    <row r="826" customHeight="1" spans="2:2">
      <c r="B826" s="48"/>
    </row>
    <row r="827" customHeight="1" spans="2:2">
      <c r="B827" s="48"/>
    </row>
    <row r="828" customHeight="1" spans="2:2">
      <c r="B828" s="48"/>
    </row>
    <row r="829" customHeight="1" spans="2:2">
      <c r="B829" s="48"/>
    </row>
    <row r="830" customHeight="1" spans="2:2">
      <c r="B830" s="48"/>
    </row>
    <row r="831" customHeight="1" spans="2:2">
      <c r="B831" s="48"/>
    </row>
    <row r="832" customHeight="1" spans="2:2">
      <c r="B832" s="48"/>
    </row>
    <row r="833" customHeight="1" spans="2:2">
      <c r="B833" s="48"/>
    </row>
    <row r="834" customHeight="1" spans="2:2">
      <c r="B834" s="48"/>
    </row>
    <row r="835" customHeight="1" spans="2:2">
      <c r="B835" s="48"/>
    </row>
    <row r="836" customHeight="1" spans="2:2">
      <c r="B836" s="48"/>
    </row>
    <row r="837" customHeight="1" spans="2:2">
      <c r="B837" s="48"/>
    </row>
    <row r="838" customHeight="1" spans="2:2">
      <c r="B838" s="48"/>
    </row>
    <row r="839" customHeight="1" spans="2:2">
      <c r="B839" s="48"/>
    </row>
    <row r="840" customHeight="1" spans="2:2">
      <c r="B840" s="48"/>
    </row>
    <row r="841" customHeight="1" spans="2:2">
      <c r="B841" s="48"/>
    </row>
    <row r="842" customHeight="1" spans="2:2">
      <c r="B842" s="48"/>
    </row>
    <row r="843" customHeight="1" spans="2:2">
      <c r="B843" s="48"/>
    </row>
    <row r="844" customHeight="1" spans="2:2">
      <c r="B844" s="48"/>
    </row>
    <row r="845" customHeight="1" spans="2:2">
      <c r="B845" s="48"/>
    </row>
    <row r="846" customHeight="1" spans="2:2">
      <c r="B846" s="48"/>
    </row>
    <row r="847" customHeight="1" spans="2:2">
      <c r="B847" s="48"/>
    </row>
    <row r="848" customHeight="1" spans="2:2">
      <c r="B848" s="48"/>
    </row>
    <row r="849" customHeight="1" spans="2:2">
      <c r="B849" s="48"/>
    </row>
    <row r="850" customHeight="1" spans="2:2">
      <c r="B850" s="48"/>
    </row>
    <row r="851" customHeight="1" spans="2:2">
      <c r="B851" s="48"/>
    </row>
    <row r="852" customHeight="1" spans="2:2">
      <c r="B852" s="48"/>
    </row>
    <row r="853" customHeight="1" spans="2:2">
      <c r="B853" s="48"/>
    </row>
    <row r="854" customHeight="1" spans="2:2">
      <c r="B854" s="48"/>
    </row>
    <row r="855" customHeight="1" spans="2:2">
      <c r="B855" s="48"/>
    </row>
    <row r="856" customHeight="1" spans="2:2">
      <c r="B856" s="48"/>
    </row>
    <row r="857" customHeight="1" spans="2:2">
      <c r="B857" s="48"/>
    </row>
    <row r="858" customHeight="1" spans="2:2">
      <c r="B858" s="48"/>
    </row>
    <row r="859" customHeight="1" spans="2:2">
      <c r="B859" s="48"/>
    </row>
    <row r="860" customHeight="1" spans="2:2">
      <c r="B860" s="48"/>
    </row>
    <row r="861" customHeight="1" spans="2:2">
      <c r="B861" s="48"/>
    </row>
    <row r="862" customHeight="1" spans="2:2">
      <c r="B862" s="48"/>
    </row>
    <row r="863" customHeight="1" spans="2:2">
      <c r="B863" s="48"/>
    </row>
    <row r="864" customHeight="1" spans="2:2">
      <c r="B864" s="48"/>
    </row>
    <row r="865" customHeight="1" spans="2:2">
      <c r="B865" s="48"/>
    </row>
    <row r="866" customHeight="1" spans="2:2">
      <c r="B866" s="48"/>
    </row>
    <row r="867" customHeight="1" spans="2:2">
      <c r="B867" s="48"/>
    </row>
    <row r="868" customHeight="1" spans="2:2">
      <c r="B868" s="48"/>
    </row>
    <row r="869" customHeight="1" spans="2:2">
      <c r="B869" s="48"/>
    </row>
    <row r="870" customHeight="1" spans="2:2">
      <c r="B870" s="48"/>
    </row>
    <row r="871" customHeight="1" spans="2:2">
      <c r="B871" s="48"/>
    </row>
    <row r="872" customHeight="1" spans="2:2">
      <c r="B872" s="48"/>
    </row>
    <row r="873" customHeight="1" spans="2:2">
      <c r="B873" s="48"/>
    </row>
    <row r="874" customHeight="1" spans="2:2">
      <c r="B874" s="48"/>
    </row>
    <row r="875" customHeight="1" spans="2:2">
      <c r="B875" s="48"/>
    </row>
    <row r="876" customHeight="1" spans="2:2">
      <c r="B876" s="48"/>
    </row>
    <row r="877" customHeight="1" spans="2:2">
      <c r="B877" s="48"/>
    </row>
    <row r="878" customHeight="1" spans="2:2">
      <c r="B878" s="48"/>
    </row>
    <row r="879" customHeight="1" spans="2:2">
      <c r="B879" s="48"/>
    </row>
    <row r="880" customHeight="1" spans="2:2">
      <c r="B880" s="48"/>
    </row>
    <row r="881" customHeight="1" spans="2:2">
      <c r="B881" s="48"/>
    </row>
    <row r="882" customHeight="1" spans="2:2">
      <c r="B882" s="48"/>
    </row>
    <row r="883" customHeight="1" spans="2:2">
      <c r="B883" s="48"/>
    </row>
    <row r="884" customHeight="1" spans="2:2">
      <c r="B884" s="48"/>
    </row>
    <row r="885" customHeight="1" spans="2:2">
      <c r="B885" s="48"/>
    </row>
    <row r="886" customHeight="1" spans="2:2">
      <c r="B886" s="48"/>
    </row>
    <row r="887" customHeight="1" spans="2:2">
      <c r="B887" s="48"/>
    </row>
    <row r="888" customHeight="1" spans="2:2">
      <c r="B888" s="48"/>
    </row>
    <row r="889" customHeight="1" spans="2:2">
      <c r="B889" s="48"/>
    </row>
    <row r="890" customHeight="1" spans="2:2">
      <c r="B890" s="48"/>
    </row>
    <row r="891" customHeight="1" spans="2:2">
      <c r="B891" s="48"/>
    </row>
    <row r="892" customHeight="1" spans="2:2">
      <c r="B892" s="48"/>
    </row>
    <row r="893" customHeight="1" spans="2:2">
      <c r="B893" s="48"/>
    </row>
    <row r="894" customHeight="1" spans="2:2">
      <c r="B894" s="48"/>
    </row>
    <row r="895" customHeight="1" spans="2:2">
      <c r="B895" s="48"/>
    </row>
    <row r="896" customHeight="1" spans="2:2">
      <c r="B896" s="48"/>
    </row>
    <row r="897" customHeight="1" spans="2:2">
      <c r="B897" s="48"/>
    </row>
    <row r="898" customHeight="1" spans="2:2">
      <c r="B898" s="48"/>
    </row>
    <row r="899" customHeight="1" spans="2:2">
      <c r="B899" s="48"/>
    </row>
    <row r="900" customHeight="1" spans="2:2">
      <c r="B900" s="48"/>
    </row>
    <row r="901" customHeight="1" spans="2:2">
      <c r="B901" s="48"/>
    </row>
    <row r="902" customHeight="1" spans="2:2">
      <c r="B902" s="48"/>
    </row>
    <row r="903" customHeight="1" spans="2:2">
      <c r="B903" s="48"/>
    </row>
    <row r="904" customHeight="1" spans="2:2">
      <c r="B904" s="48"/>
    </row>
    <row r="905" customHeight="1" spans="2:2">
      <c r="B905" s="48"/>
    </row>
    <row r="906" customHeight="1" spans="2:2">
      <c r="B906" s="48"/>
    </row>
    <row r="907" customHeight="1" spans="2:2">
      <c r="B907" s="48"/>
    </row>
    <row r="908" customHeight="1" spans="2:2">
      <c r="B908" s="48"/>
    </row>
    <row r="909" customHeight="1" spans="2:2">
      <c r="B909" s="48"/>
    </row>
    <row r="910" customHeight="1" spans="2:2">
      <c r="B910" s="48"/>
    </row>
    <row r="911" customHeight="1" spans="2:2">
      <c r="B911" s="48"/>
    </row>
    <row r="912" customHeight="1" spans="2:2">
      <c r="B912" s="48"/>
    </row>
    <row r="913" customHeight="1" spans="2:2">
      <c r="B913" s="48"/>
    </row>
    <row r="914" customHeight="1" spans="2:2">
      <c r="B914" s="48"/>
    </row>
    <row r="915" customHeight="1" spans="2:2">
      <c r="B915" s="48"/>
    </row>
    <row r="916" customHeight="1" spans="2:2">
      <c r="B916" s="48"/>
    </row>
    <row r="917" customHeight="1" spans="2:2">
      <c r="B917" s="48"/>
    </row>
    <row r="918" customHeight="1" spans="2:2">
      <c r="B918" s="48"/>
    </row>
    <row r="919" customHeight="1" spans="2:2">
      <c r="B919" s="48"/>
    </row>
    <row r="920" customHeight="1" spans="2:2">
      <c r="B920" s="48"/>
    </row>
    <row r="921" customHeight="1" spans="2:2">
      <c r="B921" s="48"/>
    </row>
    <row r="922" customHeight="1" spans="2:2">
      <c r="B922" s="48"/>
    </row>
    <row r="923" customHeight="1" spans="2:2">
      <c r="B923" s="48"/>
    </row>
    <row r="924" customHeight="1" spans="2:2">
      <c r="B924" s="48"/>
    </row>
    <row r="925" customHeight="1" spans="2:2">
      <c r="B925" s="48"/>
    </row>
    <row r="926" customHeight="1" spans="2:2">
      <c r="B926" s="48"/>
    </row>
    <row r="927" customHeight="1" spans="2:2">
      <c r="B927" s="48"/>
    </row>
    <row r="928" customHeight="1" spans="2:2">
      <c r="B928" s="48"/>
    </row>
    <row r="929" customHeight="1" spans="2:2">
      <c r="B929" s="48"/>
    </row>
    <row r="930" customHeight="1" spans="2:2">
      <c r="B930" s="48"/>
    </row>
    <row r="931" customHeight="1" spans="2:2">
      <c r="B931" s="48"/>
    </row>
    <row r="932" customHeight="1" spans="2:2">
      <c r="B932" s="48"/>
    </row>
    <row r="933" customHeight="1" spans="2:2">
      <c r="B933" s="48"/>
    </row>
    <row r="934" customHeight="1" spans="2:2">
      <c r="B934" s="48"/>
    </row>
    <row r="935" customHeight="1" spans="2:2">
      <c r="B935" s="48"/>
    </row>
    <row r="936" customHeight="1" spans="2:2">
      <c r="B936" s="48"/>
    </row>
    <row r="937" customHeight="1" spans="2:2">
      <c r="B937" s="48"/>
    </row>
    <row r="938" customHeight="1" spans="2:2">
      <c r="B938" s="48"/>
    </row>
    <row r="939" customHeight="1" spans="2:2">
      <c r="B939" s="48"/>
    </row>
    <row r="940" customHeight="1" spans="2:2">
      <c r="B940" s="48"/>
    </row>
    <row r="941" customHeight="1" spans="2:2">
      <c r="B941" s="48"/>
    </row>
    <row r="942" customHeight="1" spans="2:2">
      <c r="B942" s="48"/>
    </row>
    <row r="943" customHeight="1" spans="2:2">
      <c r="B943" s="48"/>
    </row>
    <row r="944" customHeight="1" spans="2:2">
      <c r="B944" s="48"/>
    </row>
    <row r="945" customHeight="1" spans="2:2">
      <c r="B945" s="48"/>
    </row>
    <row r="946" customHeight="1" spans="2:2">
      <c r="B946" s="48"/>
    </row>
    <row r="947" customHeight="1" spans="2:2">
      <c r="B947" s="48"/>
    </row>
    <row r="948" customHeight="1" spans="2:2">
      <c r="B948" s="48"/>
    </row>
    <row r="949" customHeight="1" spans="2:2">
      <c r="B949" s="48"/>
    </row>
    <row r="950" customHeight="1" spans="2:2">
      <c r="B950" s="48"/>
    </row>
    <row r="951" customHeight="1" spans="2:2">
      <c r="B951" s="48"/>
    </row>
    <row r="952" customHeight="1" spans="2:2">
      <c r="B952" s="48"/>
    </row>
    <row r="953" customHeight="1" spans="2:2">
      <c r="B953" s="48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178:F180"/>
    <mergeCell ref="F184:F186"/>
    <mergeCell ref="G1:G2"/>
    <mergeCell ref="H1:H2"/>
    <mergeCell ref="I1:I2"/>
    <mergeCell ref="J1:J2"/>
    <mergeCell ref="K1:K2"/>
    <mergeCell ref="L1:L2"/>
  </mergeCells>
  <conditionalFormatting sqref="G85:G86 G96 G116">
    <cfRule type="expression" dxfId="0" priority="1">
      <formula>"F56"</formula>
    </cfRule>
  </conditionalFormatting>
  <dataValidations count="1">
    <dataValidation type="list" allowBlank="1" showErrorMessage="1" sqref="C3:C167">
      <formula1>"Grocery,Health,Others,Home,Dress,Food,Snacks,Tickets,Fuel,Transport"</formula1>
    </dataValidation>
  </dataValidation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6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63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206</v>
      </c>
      <c r="J1" s="31" t="s">
        <v>498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164" t="s">
        <v>593</v>
      </c>
      <c r="B3" s="165" t="s">
        <v>594</v>
      </c>
      <c r="C3" s="77"/>
      <c r="D3" s="76">
        <v>969.68</v>
      </c>
      <c r="E3" s="78"/>
      <c r="F3" s="79">
        <f>D3-E3</f>
        <v>969.68</v>
      </c>
      <c r="G3" s="110"/>
      <c r="H3" s="105"/>
      <c r="I3" s="105"/>
      <c r="J3" s="105"/>
      <c r="K3" s="105"/>
      <c r="L3" s="105"/>
      <c r="M3" s="105"/>
      <c r="N3" s="105"/>
    </row>
    <row r="4" customHeight="1" spans="1:14">
      <c r="A4" s="47"/>
      <c r="B4" s="165" t="s">
        <v>74</v>
      </c>
      <c r="C4" s="77"/>
      <c r="D4" s="76">
        <v>36563</v>
      </c>
      <c r="E4" s="78"/>
      <c r="F4" s="79">
        <f t="shared" ref="F4:F120" si="0">(D4-E4)+F3</f>
        <v>37532.68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166"/>
      <c r="B5" s="165" t="s">
        <v>500</v>
      </c>
      <c r="C5" s="77"/>
      <c r="D5" s="76">
        <v>10000</v>
      </c>
      <c r="E5" s="78"/>
      <c r="F5" s="79">
        <f t="shared" si="0"/>
        <v>47532.68</v>
      </c>
      <c r="G5" s="79"/>
      <c r="H5" s="77"/>
      <c r="I5" s="77"/>
      <c r="J5" s="77"/>
      <c r="K5" s="77"/>
      <c r="L5" s="77"/>
      <c r="M5" s="77"/>
      <c r="N5" s="77"/>
    </row>
    <row r="6" customHeight="1" spans="1:14">
      <c r="A6" s="166"/>
      <c r="B6" s="167" t="s">
        <v>595</v>
      </c>
      <c r="C6" s="168" t="s">
        <v>224</v>
      </c>
      <c r="D6" s="18"/>
      <c r="E6" s="19">
        <v>282.73</v>
      </c>
      <c r="F6" s="79">
        <f t="shared" si="0"/>
        <v>47249.95</v>
      </c>
      <c r="G6" s="79"/>
      <c r="H6" s="77"/>
      <c r="I6" s="77"/>
      <c r="J6" s="77"/>
      <c r="K6" s="77"/>
      <c r="L6" s="77"/>
      <c r="M6" s="77"/>
      <c r="N6" s="77"/>
    </row>
    <row r="7" customHeight="1" spans="1:14">
      <c r="A7" s="169" t="s">
        <v>596</v>
      </c>
      <c r="B7" s="170" t="s">
        <v>24</v>
      </c>
      <c r="C7" s="86" t="s">
        <v>214</v>
      </c>
      <c r="D7" s="83"/>
      <c r="E7" s="84">
        <v>15000</v>
      </c>
      <c r="F7" s="85">
        <f t="shared" si="0"/>
        <v>32249.95</v>
      </c>
      <c r="G7" s="86"/>
      <c r="H7" s="86"/>
      <c r="I7" s="86"/>
      <c r="J7" s="86"/>
      <c r="K7" s="86"/>
      <c r="L7" s="86"/>
      <c r="M7" s="86"/>
      <c r="N7" s="86"/>
    </row>
    <row r="8" customHeight="1" spans="1:14">
      <c r="A8" s="166"/>
      <c r="B8" s="165" t="s">
        <v>230</v>
      </c>
      <c r="C8" s="77" t="s">
        <v>219</v>
      </c>
      <c r="D8" s="76"/>
      <c r="E8" s="78">
        <v>4000</v>
      </c>
      <c r="F8" s="79">
        <f t="shared" si="0"/>
        <v>28249.95</v>
      </c>
      <c r="G8" s="77"/>
      <c r="H8" s="77"/>
      <c r="I8" s="77"/>
      <c r="J8" s="77"/>
      <c r="K8" s="77"/>
      <c r="L8" s="77"/>
      <c r="M8" s="77"/>
      <c r="N8" s="77"/>
    </row>
    <row r="9" customHeight="1" spans="1:14">
      <c r="A9" s="166"/>
      <c r="B9" s="165" t="s">
        <v>77</v>
      </c>
      <c r="C9" s="77" t="s">
        <v>245</v>
      </c>
      <c r="D9" s="76"/>
      <c r="E9" s="171">
        <v>353</v>
      </c>
      <c r="F9" s="79">
        <f t="shared" si="0"/>
        <v>27896.95</v>
      </c>
      <c r="G9" s="77"/>
      <c r="H9" s="77"/>
      <c r="I9" s="77"/>
      <c r="J9" s="77"/>
      <c r="K9" s="77"/>
      <c r="L9" s="77"/>
      <c r="M9" s="77"/>
      <c r="N9" s="77"/>
    </row>
    <row r="10" customHeight="1" spans="1:14">
      <c r="A10" s="166"/>
      <c r="B10" s="165" t="s">
        <v>597</v>
      </c>
      <c r="C10" s="77" t="s">
        <v>219</v>
      </c>
      <c r="D10" s="76"/>
      <c r="E10" s="78">
        <v>1000</v>
      </c>
      <c r="F10" s="79">
        <f t="shared" si="0"/>
        <v>26896.95</v>
      </c>
      <c r="G10" s="158"/>
      <c r="H10" s="158"/>
      <c r="I10" s="158"/>
      <c r="J10" s="158"/>
      <c r="K10" s="158"/>
      <c r="L10" s="158"/>
      <c r="M10" s="158"/>
      <c r="N10" s="105"/>
    </row>
    <row r="11" customHeight="1" spans="1:14">
      <c r="A11" s="166"/>
      <c r="B11" s="165" t="s">
        <v>598</v>
      </c>
      <c r="C11" s="77" t="s">
        <v>27</v>
      </c>
      <c r="D11" s="76"/>
      <c r="E11" s="78">
        <v>254.99</v>
      </c>
      <c r="F11" s="79">
        <f t="shared" si="0"/>
        <v>26641.96</v>
      </c>
      <c r="G11" s="77"/>
      <c r="H11" s="77"/>
      <c r="I11" s="77"/>
      <c r="J11" s="77"/>
      <c r="K11" s="77"/>
      <c r="L11" s="77"/>
      <c r="M11" s="77"/>
      <c r="N11" s="77"/>
    </row>
    <row r="12" customHeight="1" spans="1:14">
      <c r="A12" s="166"/>
      <c r="B12" s="165" t="s">
        <v>599</v>
      </c>
      <c r="C12" s="77" t="s">
        <v>214</v>
      </c>
      <c r="D12" s="76"/>
      <c r="E12" s="78">
        <v>100</v>
      </c>
      <c r="F12" s="79">
        <f t="shared" si="0"/>
        <v>26541.96</v>
      </c>
      <c r="G12" s="77"/>
      <c r="H12" s="77"/>
      <c r="I12" s="77"/>
      <c r="J12" s="77"/>
      <c r="K12" s="77"/>
      <c r="L12" s="77"/>
      <c r="M12" s="77"/>
      <c r="N12" s="77"/>
    </row>
    <row r="13" customHeight="1" spans="1:14">
      <c r="A13" s="166"/>
      <c r="B13" s="165" t="s">
        <v>600</v>
      </c>
      <c r="C13" s="77" t="s">
        <v>224</v>
      </c>
      <c r="D13" s="76"/>
      <c r="E13" s="78">
        <v>328.25</v>
      </c>
      <c r="F13" s="79">
        <f t="shared" si="0"/>
        <v>26213.71</v>
      </c>
      <c r="G13" s="172"/>
      <c r="H13" s="105"/>
      <c r="I13" s="105"/>
      <c r="J13" s="105"/>
      <c r="K13" s="105"/>
      <c r="L13" s="105"/>
      <c r="M13" s="105"/>
      <c r="N13" s="105"/>
    </row>
    <row r="14" customHeight="1" spans="1:14">
      <c r="A14" s="166"/>
      <c r="B14" s="165" t="s">
        <v>503</v>
      </c>
      <c r="C14" s="77" t="s">
        <v>210</v>
      </c>
      <c r="D14" s="76"/>
      <c r="E14" s="78">
        <v>500</v>
      </c>
      <c r="F14" s="79">
        <f t="shared" si="0"/>
        <v>25713.71</v>
      </c>
      <c r="G14" s="172"/>
      <c r="H14" s="105"/>
      <c r="I14" s="105"/>
      <c r="J14" s="105"/>
      <c r="K14" s="105"/>
      <c r="L14" s="105"/>
      <c r="M14" s="105"/>
      <c r="N14" s="105"/>
    </row>
    <row r="15" customHeight="1" spans="1:6">
      <c r="A15" s="166"/>
      <c r="B15" s="167" t="s">
        <v>601</v>
      </c>
      <c r="C15" s="168" t="s">
        <v>86</v>
      </c>
      <c r="D15" s="18"/>
      <c r="E15" s="19">
        <v>356</v>
      </c>
      <c r="F15" s="79">
        <f t="shared" si="0"/>
        <v>25357.71</v>
      </c>
    </row>
    <row r="16" customHeight="1" spans="1:6">
      <c r="A16" s="166" t="s">
        <v>602</v>
      </c>
      <c r="B16" s="165"/>
      <c r="C16" s="77" t="s">
        <v>219</v>
      </c>
      <c r="D16" s="76"/>
      <c r="E16" s="78">
        <v>1000</v>
      </c>
      <c r="F16" s="79">
        <f t="shared" si="0"/>
        <v>24357.71</v>
      </c>
    </row>
    <row r="17" customHeight="1" spans="1:6">
      <c r="A17" s="166"/>
      <c r="B17" s="165"/>
      <c r="C17" s="77" t="s">
        <v>219</v>
      </c>
      <c r="D17" s="76"/>
      <c r="E17" s="78">
        <v>1000</v>
      </c>
      <c r="F17" s="79">
        <f t="shared" si="0"/>
        <v>23357.71</v>
      </c>
    </row>
    <row r="18" customHeight="1" spans="1:14">
      <c r="A18" s="166"/>
      <c r="B18" s="165" t="s">
        <v>503</v>
      </c>
      <c r="C18" s="77" t="s">
        <v>210</v>
      </c>
      <c r="D18" s="76"/>
      <c r="E18" s="78">
        <v>414</v>
      </c>
      <c r="F18" s="79">
        <f t="shared" si="0"/>
        <v>22943.71</v>
      </c>
      <c r="G18" s="158"/>
      <c r="H18" s="158"/>
      <c r="I18" s="158"/>
      <c r="J18" s="158"/>
      <c r="K18" s="158"/>
      <c r="L18" s="158"/>
      <c r="M18" s="158"/>
      <c r="N18" s="105"/>
    </row>
    <row r="19" customHeight="1" spans="1:14">
      <c r="A19" s="166"/>
      <c r="B19" s="165" t="s">
        <v>62</v>
      </c>
      <c r="C19" s="77" t="s">
        <v>224</v>
      </c>
      <c r="D19" s="76"/>
      <c r="E19" s="78">
        <v>241.79</v>
      </c>
      <c r="F19" s="79">
        <f t="shared" si="0"/>
        <v>22701.92</v>
      </c>
      <c r="G19" s="158"/>
      <c r="H19" s="158"/>
      <c r="I19" s="158"/>
      <c r="J19" s="158"/>
      <c r="K19" s="158"/>
      <c r="L19" s="158"/>
      <c r="M19" s="158"/>
      <c r="N19" s="158"/>
    </row>
    <row r="20" customHeight="1" spans="1:14">
      <c r="A20" s="166"/>
      <c r="B20" s="165" t="s">
        <v>437</v>
      </c>
      <c r="C20" s="77"/>
      <c r="D20" s="76">
        <v>1000</v>
      </c>
      <c r="E20" s="78"/>
      <c r="F20" s="79">
        <f t="shared" si="0"/>
        <v>23701.92</v>
      </c>
      <c r="G20" s="158"/>
      <c r="H20" s="158"/>
      <c r="I20" s="158"/>
      <c r="J20" s="158"/>
      <c r="K20" s="158"/>
      <c r="L20" s="158"/>
      <c r="M20" s="158"/>
      <c r="N20" s="158"/>
    </row>
    <row r="21" customHeight="1" spans="1:14">
      <c r="A21" s="166"/>
      <c r="B21" s="165" t="s">
        <v>603</v>
      </c>
      <c r="C21" s="77" t="s">
        <v>219</v>
      </c>
      <c r="D21" s="76"/>
      <c r="E21" s="78">
        <v>1000</v>
      </c>
      <c r="F21" s="79">
        <f t="shared" si="0"/>
        <v>22701.92</v>
      </c>
      <c r="G21" s="158"/>
      <c r="H21" s="158"/>
      <c r="I21" s="158"/>
      <c r="J21" s="158"/>
      <c r="K21" s="158"/>
      <c r="L21" s="158"/>
      <c r="M21" s="158"/>
      <c r="N21" s="158"/>
    </row>
    <row r="22" customHeight="1" spans="1:14">
      <c r="A22" s="173">
        <v>45755</v>
      </c>
      <c r="B22" s="165" t="s">
        <v>88</v>
      </c>
      <c r="C22" s="77" t="s">
        <v>214</v>
      </c>
      <c r="D22" s="76"/>
      <c r="E22" s="78">
        <v>195</v>
      </c>
      <c r="F22" s="79">
        <f t="shared" si="0"/>
        <v>22506.92</v>
      </c>
      <c r="G22" s="158"/>
      <c r="H22" s="158"/>
      <c r="I22" s="158"/>
      <c r="J22" s="158"/>
      <c r="K22" s="158"/>
      <c r="L22" s="158"/>
      <c r="M22" s="158"/>
      <c r="N22" s="158"/>
    </row>
    <row r="23" customHeight="1" spans="1:14">
      <c r="A23" s="166"/>
      <c r="B23" s="165" t="s">
        <v>604</v>
      </c>
      <c r="C23" s="77" t="s">
        <v>245</v>
      </c>
      <c r="D23" s="76"/>
      <c r="E23" s="78">
        <v>2102</v>
      </c>
      <c r="F23" s="79">
        <f t="shared" si="0"/>
        <v>20404.92</v>
      </c>
      <c r="G23" s="77">
        <f>ABS(G24-F28)</f>
        <v>611.950000000004</v>
      </c>
      <c r="H23" s="77"/>
      <c r="I23" s="77"/>
      <c r="J23" s="77"/>
      <c r="K23" s="77"/>
      <c r="L23" s="77"/>
      <c r="M23" s="77"/>
      <c r="N23" s="77"/>
    </row>
    <row r="24" customHeight="1" spans="1:14">
      <c r="A24" s="166"/>
      <c r="B24" s="167" t="s">
        <v>605</v>
      </c>
      <c r="C24" s="168" t="s">
        <v>27</v>
      </c>
      <c r="D24" s="18"/>
      <c r="E24" s="19">
        <v>549.25</v>
      </c>
      <c r="F24" s="79">
        <f t="shared" si="0"/>
        <v>19855.67</v>
      </c>
      <c r="G24" s="79">
        <f>H24+I24+J24+K24+L24+M24+N24</f>
        <v>19855.67</v>
      </c>
      <c r="H24" s="77">
        <v>0</v>
      </c>
      <c r="I24" s="62">
        <f>9112.7</f>
        <v>9112.7</v>
      </c>
      <c r="J24" s="77">
        <v>0</v>
      </c>
      <c r="K24" s="77">
        <v>0</v>
      </c>
      <c r="L24" s="77">
        <v>10288.97</v>
      </c>
      <c r="M24" s="77">
        <v>0</v>
      </c>
      <c r="N24" s="77">
        <f>200+200+54</f>
        <v>454</v>
      </c>
    </row>
    <row r="25" customHeight="1" spans="1:14">
      <c r="A25" s="174">
        <v>45785</v>
      </c>
      <c r="B25" s="175" t="s">
        <v>606</v>
      </c>
      <c r="C25" s="176" t="s">
        <v>214</v>
      </c>
      <c r="D25" s="97"/>
      <c r="E25" s="98">
        <v>49</v>
      </c>
      <c r="F25" s="85">
        <f t="shared" si="0"/>
        <v>19806.67</v>
      </c>
      <c r="G25" s="177"/>
      <c r="H25" s="112"/>
      <c r="I25" s="112"/>
      <c r="J25" s="112"/>
      <c r="K25" s="112"/>
      <c r="L25" s="112"/>
      <c r="M25" s="112"/>
      <c r="N25" s="112"/>
    </row>
    <row r="26" customHeight="1" spans="1:14">
      <c r="A26" s="166"/>
      <c r="B26" s="178" t="s">
        <v>607</v>
      </c>
      <c r="C26" s="168" t="s">
        <v>27</v>
      </c>
      <c r="D26" s="18"/>
      <c r="E26" s="19">
        <v>142.3</v>
      </c>
      <c r="F26" s="79">
        <f t="shared" si="0"/>
        <v>19664.37</v>
      </c>
      <c r="G26" s="77"/>
      <c r="H26" s="158"/>
      <c r="I26" s="105"/>
      <c r="J26" s="158"/>
      <c r="K26" s="158"/>
      <c r="L26" s="77"/>
      <c r="M26" s="158"/>
      <c r="N26" s="158"/>
    </row>
    <row r="27" customHeight="1" spans="1:6">
      <c r="A27" s="166" t="s">
        <v>608</v>
      </c>
      <c r="B27" s="165" t="s">
        <v>407</v>
      </c>
      <c r="C27" s="77" t="s">
        <v>27</v>
      </c>
      <c r="D27" s="76"/>
      <c r="E27" s="78">
        <v>55</v>
      </c>
      <c r="F27" s="79">
        <f t="shared" si="0"/>
        <v>19609.37</v>
      </c>
    </row>
    <row r="28" customHeight="1" spans="1:6">
      <c r="A28" s="166"/>
      <c r="B28" s="165" t="s">
        <v>609</v>
      </c>
      <c r="C28" s="77" t="s">
        <v>27</v>
      </c>
      <c r="D28" s="76"/>
      <c r="E28" s="78">
        <v>365.65</v>
      </c>
      <c r="F28" s="79">
        <f t="shared" si="0"/>
        <v>19243.72</v>
      </c>
    </row>
    <row r="29" customHeight="1" spans="1:14">
      <c r="A29" s="166" t="s">
        <v>610</v>
      </c>
      <c r="B29" s="165" t="s">
        <v>38</v>
      </c>
      <c r="C29" s="77" t="s">
        <v>201</v>
      </c>
      <c r="D29" s="76"/>
      <c r="E29" s="78">
        <v>200</v>
      </c>
      <c r="F29" s="79">
        <f t="shared" si="0"/>
        <v>19043.72</v>
      </c>
      <c r="G29" s="110"/>
      <c r="H29" s="110"/>
      <c r="I29" s="110"/>
      <c r="J29" s="110"/>
      <c r="K29" s="110"/>
      <c r="L29" s="110"/>
      <c r="M29" s="110"/>
      <c r="N29" s="110"/>
    </row>
    <row r="30" customHeight="1" spans="1:14">
      <c r="A30" s="166"/>
      <c r="B30" s="165" t="s">
        <v>611</v>
      </c>
      <c r="C30" s="77" t="s">
        <v>219</v>
      </c>
      <c r="D30" s="76"/>
      <c r="E30" s="78">
        <v>380</v>
      </c>
      <c r="F30" s="79">
        <f t="shared" si="0"/>
        <v>18663.72</v>
      </c>
      <c r="G30" s="158"/>
      <c r="H30" s="158"/>
      <c r="I30" s="158"/>
      <c r="J30" s="158"/>
      <c r="K30" s="158"/>
      <c r="L30" s="158"/>
      <c r="M30" s="158"/>
      <c r="N30" s="158"/>
    </row>
    <row r="31" customHeight="1" spans="1:14">
      <c r="A31" s="166" t="s">
        <v>612</v>
      </c>
      <c r="B31" s="165" t="s">
        <v>613</v>
      </c>
      <c r="C31" s="77" t="s">
        <v>224</v>
      </c>
      <c r="D31" s="76"/>
      <c r="E31" s="78">
        <v>35</v>
      </c>
      <c r="F31" s="79">
        <f t="shared" si="0"/>
        <v>18628.72</v>
      </c>
      <c r="G31" s="158"/>
      <c r="H31" s="158"/>
      <c r="I31" s="158"/>
      <c r="J31" s="158"/>
      <c r="K31" s="158"/>
      <c r="L31" s="158"/>
      <c r="M31" s="158"/>
      <c r="N31" s="158"/>
    </row>
    <row r="32" customHeight="1" spans="1:14">
      <c r="A32" s="166"/>
      <c r="B32" s="165" t="s">
        <v>614</v>
      </c>
      <c r="C32" s="77" t="s">
        <v>86</v>
      </c>
      <c r="D32" s="76"/>
      <c r="E32" s="78">
        <v>40</v>
      </c>
      <c r="F32" s="79">
        <f t="shared" si="0"/>
        <v>18588.72</v>
      </c>
      <c r="G32" s="158"/>
      <c r="H32" s="158"/>
      <c r="I32" s="158"/>
      <c r="J32" s="158"/>
      <c r="K32" s="158"/>
      <c r="L32" s="158"/>
      <c r="M32" s="158"/>
      <c r="N32" s="158"/>
    </row>
    <row r="33" customHeight="1" spans="1:14">
      <c r="A33" s="166"/>
      <c r="B33" s="165" t="s">
        <v>129</v>
      </c>
      <c r="C33" s="77" t="s">
        <v>210</v>
      </c>
      <c r="D33" s="76"/>
      <c r="E33" s="78">
        <v>400</v>
      </c>
      <c r="F33" s="79">
        <f t="shared" si="0"/>
        <v>18188.72</v>
      </c>
      <c r="G33" s="158"/>
      <c r="H33" s="158"/>
      <c r="I33" s="158"/>
      <c r="J33" s="158"/>
      <c r="K33" s="158"/>
      <c r="L33" s="158"/>
      <c r="M33" s="158"/>
      <c r="N33" s="158"/>
    </row>
    <row r="34" customHeight="1" spans="1:14">
      <c r="A34" s="166"/>
      <c r="B34" s="165" t="s">
        <v>615</v>
      </c>
      <c r="C34" s="77" t="s">
        <v>245</v>
      </c>
      <c r="D34" s="76"/>
      <c r="E34" s="78">
        <v>238.49</v>
      </c>
      <c r="F34" s="79">
        <f t="shared" si="0"/>
        <v>17950.23</v>
      </c>
      <c r="G34" s="77">
        <f>ABS(G35-F35)</f>
        <v>0</v>
      </c>
      <c r="H34" s="77"/>
      <c r="I34" s="77"/>
      <c r="J34" s="77"/>
      <c r="K34" s="77"/>
      <c r="L34" s="77"/>
      <c r="M34" s="77"/>
      <c r="N34" s="77"/>
    </row>
    <row r="35" customHeight="1" spans="1:14">
      <c r="A35" s="166"/>
      <c r="B35" s="167" t="s">
        <v>37</v>
      </c>
      <c r="C35" s="168" t="s">
        <v>86</v>
      </c>
      <c r="D35" s="18"/>
      <c r="E35" s="19">
        <v>316</v>
      </c>
      <c r="F35" s="79">
        <f t="shared" si="0"/>
        <v>17634.23</v>
      </c>
      <c r="G35" s="79">
        <f>H35+I35+J35+K35+L35+M35+N35</f>
        <v>17634.23</v>
      </c>
      <c r="H35" s="77">
        <v>0</v>
      </c>
      <c r="I35" s="62">
        <f>8366.91</f>
        <v>8366.91</v>
      </c>
      <c r="J35" s="77">
        <v>0</v>
      </c>
      <c r="K35" s="77">
        <v>0</v>
      </c>
      <c r="L35" s="77">
        <v>8813.32</v>
      </c>
      <c r="M35" s="77">
        <v>0</v>
      </c>
      <c r="N35" s="77">
        <f>200+200+54</f>
        <v>454</v>
      </c>
    </row>
    <row r="36" customHeight="1" spans="1:14">
      <c r="A36" s="169" t="s">
        <v>616</v>
      </c>
      <c r="B36" s="170" t="s">
        <v>331</v>
      </c>
      <c r="C36" s="86" t="s">
        <v>27</v>
      </c>
      <c r="D36" s="83"/>
      <c r="E36" s="84">
        <v>100</v>
      </c>
      <c r="F36" s="85">
        <f t="shared" si="0"/>
        <v>17534.23</v>
      </c>
      <c r="G36" s="28"/>
      <c r="H36" s="28"/>
      <c r="I36" s="28"/>
      <c r="J36" s="28"/>
      <c r="K36" s="28"/>
      <c r="L36" s="28"/>
      <c r="M36" s="28"/>
      <c r="N36" s="28"/>
    </row>
    <row r="37" customHeight="1" spans="1:14">
      <c r="A37" s="166"/>
      <c r="B37" s="165" t="s">
        <v>617</v>
      </c>
      <c r="C37" s="77" t="s">
        <v>27</v>
      </c>
      <c r="D37" s="76"/>
      <c r="E37" s="78">
        <v>76</v>
      </c>
      <c r="F37" s="79">
        <f t="shared" si="0"/>
        <v>17458.23</v>
      </c>
      <c r="G37" s="158"/>
      <c r="H37" s="158"/>
      <c r="I37" s="158"/>
      <c r="J37" s="158"/>
      <c r="K37" s="158"/>
      <c r="L37" s="158"/>
      <c r="M37" s="158"/>
      <c r="N37" s="158"/>
    </row>
    <row r="38" customHeight="1" spans="1:6">
      <c r="A38" s="179"/>
      <c r="B38" s="165" t="s">
        <v>38</v>
      </c>
      <c r="C38" s="77" t="s">
        <v>201</v>
      </c>
      <c r="D38" s="76"/>
      <c r="E38" s="78">
        <v>210</v>
      </c>
      <c r="F38" s="79">
        <f t="shared" si="0"/>
        <v>17248.23</v>
      </c>
    </row>
    <row r="39" customHeight="1" spans="1:6">
      <c r="A39" s="180"/>
      <c r="B39" s="167" t="s">
        <v>618</v>
      </c>
      <c r="C39" s="168" t="s">
        <v>86</v>
      </c>
      <c r="D39" s="18"/>
      <c r="E39" s="19">
        <v>499</v>
      </c>
      <c r="F39" s="79">
        <f t="shared" si="0"/>
        <v>16749.23</v>
      </c>
    </row>
    <row r="40" customHeight="1" spans="1:6">
      <c r="A40" s="180"/>
      <c r="B40" s="167" t="s">
        <v>619</v>
      </c>
      <c r="C40" s="168" t="s">
        <v>27</v>
      </c>
      <c r="D40" s="18"/>
      <c r="E40" s="19">
        <v>156.49</v>
      </c>
      <c r="F40" s="79">
        <f t="shared" si="0"/>
        <v>16592.74</v>
      </c>
    </row>
    <row r="41" customHeight="1" spans="1:6">
      <c r="A41" s="166" t="s">
        <v>620</v>
      </c>
      <c r="B41" s="165" t="s">
        <v>27</v>
      </c>
      <c r="C41" s="77" t="s">
        <v>27</v>
      </c>
      <c r="D41" s="76"/>
      <c r="E41" s="78">
        <v>60</v>
      </c>
      <c r="F41" s="79">
        <f t="shared" si="0"/>
        <v>16532.74</v>
      </c>
    </row>
    <row r="42" customHeight="1" spans="1:14">
      <c r="A42" s="181"/>
      <c r="B42" s="167" t="s">
        <v>621</v>
      </c>
      <c r="C42" s="168" t="s">
        <v>27</v>
      </c>
      <c r="D42" s="18"/>
      <c r="E42" s="19">
        <v>466.35</v>
      </c>
      <c r="F42" s="79">
        <f t="shared" si="0"/>
        <v>16066.39</v>
      </c>
      <c r="G42" s="158"/>
      <c r="H42" s="158"/>
      <c r="I42" s="158"/>
      <c r="J42" s="158"/>
      <c r="K42" s="158"/>
      <c r="L42" s="158"/>
      <c r="M42" s="158"/>
      <c r="N42" s="158"/>
    </row>
    <row r="43" customHeight="1" spans="1:14">
      <c r="A43" s="173"/>
      <c r="B43" s="165"/>
      <c r="C43" s="77" t="s">
        <v>219</v>
      </c>
      <c r="D43" s="76"/>
      <c r="E43" s="78">
        <v>300</v>
      </c>
      <c r="F43" s="79">
        <f t="shared" si="0"/>
        <v>15766.39</v>
      </c>
      <c r="G43" s="158"/>
      <c r="H43" s="158"/>
      <c r="I43" s="158"/>
      <c r="J43" s="158"/>
      <c r="K43" s="158"/>
      <c r="L43" s="158"/>
      <c r="M43" s="158"/>
      <c r="N43" s="158"/>
    </row>
    <row r="44" customHeight="1" spans="1:14">
      <c r="A44" s="173">
        <v>45969</v>
      </c>
      <c r="B44" s="165" t="s">
        <v>622</v>
      </c>
      <c r="C44" s="77" t="s">
        <v>27</v>
      </c>
      <c r="D44" s="76"/>
      <c r="E44" s="78">
        <v>120</v>
      </c>
      <c r="F44" s="79">
        <f t="shared" si="0"/>
        <v>15646.39</v>
      </c>
      <c r="G44" s="158"/>
      <c r="H44" s="158"/>
      <c r="I44" s="158"/>
      <c r="J44" s="158"/>
      <c r="K44" s="158"/>
      <c r="L44" s="158"/>
      <c r="M44" s="158"/>
      <c r="N44" s="158"/>
    </row>
    <row r="45" customHeight="1" spans="1:14">
      <c r="A45" s="166"/>
      <c r="B45" s="165" t="s">
        <v>331</v>
      </c>
      <c r="C45" s="77" t="s">
        <v>27</v>
      </c>
      <c r="D45" s="76"/>
      <c r="E45" s="78">
        <v>100</v>
      </c>
      <c r="F45" s="79">
        <f t="shared" si="0"/>
        <v>15546.39</v>
      </c>
      <c r="G45" s="158"/>
      <c r="H45" s="158"/>
      <c r="I45" s="158"/>
      <c r="J45" s="158"/>
      <c r="K45" s="158"/>
      <c r="L45" s="158"/>
      <c r="M45" s="158"/>
      <c r="N45" s="158"/>
    </row>
    <row r="46" customHeight="1" spans="1:14">
      <c r="A46" s="166"/>
      <c r="B46" s="165" t="s">
        <v>623</v>
      </c>
      <c r="C46" s="77" t="s">
        <v>245</v>
      </c>
      <c r="D46" s="76"/>
      <c r="E46" s="78">
        <v>60</v>
      </c>
      <c r="F46" s="79">
        <f t="shared" si="0"/>
        <v>15486.39</v>
      </c>
      <c r="G46" s="158"/>
      <c r="H46" s="158"/>
      <c r="I46" s="158"/>
      <c r="J46" s="158"/>
      <c r="K46" s="158"/>
      <c r="L46" s="158"/>
      <c r="M46" s="158"/>
      <c r="N46" s="158"/>
    </row>
    <row r="47" customHeight="1" spans="1:14">
      <c r="A47" s="166"/>
      <c r="B47" s="165" t="s">
        <v>228</v>
      </c>
      <c r="C47" s="77" t="s">
        <v>27</v>
      </c>
      <c r="D47" s="76"/>
      <c r="E47" s="78">
        <v>277.32</v>
      </c>
      <c r="F47" s="79">
        <f t="shared" si="0"/>
        <v>15209.07</v>
      </c>
      <c r="G47" s="77"/>
      <c r="H47" s="77"/>
      <c r="I47" s="77"/>
      <c r="J47" s="77"/>
      <c r="K47" s="77"/>
      <c r="L47" s="77"/>
      <c r="M47" s="77"/>
      <c r="N47" s="77"/>
    </row>
    <row r="48" customHeight="1" spans="1:14">
      <c r="A48" s="166" t="s">
        <v>624</v>
      </c>
      <c r="B48" s="165" t="s">
        <v>228</v>
      </c>
      <c r="C48" s="77" t="s">
        <v>27</v>
      </c>
      <c r="D48" s="76"/>
      <c r="E48" s="78">
        <v>219</v>
      </c>
      <c r="F48" s="79">
        <f t="shared" si="0"/>
        <v>14990.07</v>
      </c>
      <c r="G48" s="79"/>
      <c r="H48" s="77"/>
      <c r="I48" s="77"/>
      <c r="J48" s="77"/>
      <c r="K48" s="77"/>
      <c r="L48" s="77"/>
      <c r="M48" s="77"/>
      <c r="N48" s="77"/>
    </row>
    <row r="49" customHeight="1" spans="1:6">
      <c r="A49" s="166"/>
      <c r="B49" s="165" t="s">
        <v>332</v>
      </c>
      <c r="C49" s="77" t="s">
        <v>210</v>
      </c>
      <c r="D49" s="76"/>
      <c r="E49" s="78">
        <v>392</v>
      </c>
      <c r="F49" s="79">
        <f t="shared" si="0"/>
        <v>14598.07</v>
      </c>
    </row>
    <row r="50" customHeight="1" spans="1:6">
      <c r="A50" s="166" t="s">
        <v>625</v>
      </c>
      <c r="B50" s="165" t="s">
        <v>228</v>
      </c>
      <c r="C50" s="77" t="s">
        <v>27</v>
      </c>
      <c r="D50" s="76"/>
      <c r="E50" s="78">
        <v>198.09</v>
      </c>
      <c r="F50" s="79">
        <f t="shared" si="0"/>
        <v>14399.98</v>
      </c>
    </row>
    <row r="51" customHeight="1" spans="1:14">
      <c r="A51" s="166"/>
      <c r="B51" s="165" t="s">
        <v>413</v>
      </c>
      <c r="C51" s="77" t="s">
        <v>245</v>
      </c>
      <c r="D51" s="76"/>
      <c r="E51" s="171">
        <v>325</v>
      </c>
      <c r="F51" s="79">
        <f t="shared" si="0"/>
        <v>14074.98</v>
      </c>
      <c r="G51" s="110"/>
      <c r="H51" s="110"/>
      <c r="I51" s="59"/>
      <c r="J51" s="110"/>
      <c r="K51" s="110"/>
      <c r="L51" s="110"/>
      <c r="M51" s="110"/>
      <c r="N51" s="110"/>
    </row>
    <row r="52" customHeight="1" spans="1:14">
      <c r="A52" s="166"/>
      <c r="B52" s="165" t="s">
        <v>332</v>
      </c>
      <c r="C52" s="77" t="s">
        <v>210</v>
      </c>
      <c r="D52" s="76"/>
      <c r="E52" s="78">
        <v>240</v>
      </c>
      <c r="F52" s="79">
        <f t="shared" si="0"/>
        <v>13834.98</v>
      </c>
      <c r="G52" s="158"/>
      <c r="H52" s="158"/>
      <c r="I52" s="158"/>
      <c r="J52" s="158"/>
      <c r="K52" s="158"/>
      <c r="L52" s="158"/>
      <c r="M52" s="158"/>
      <c r="N52" s="158"/>
    </row>
    <row r="53" customHeight="1" spans="1:14">
      <c r="A53" s="166"/>
      <c r="B53" s="165" t="s">
        <v>601</v>
      </c>
      <c r="C53" s="77" t="s">
        <v>86</v>
      </c>
      <c r="D53" s="76"/>
      <c r="E53" s="78">
        <v>397</v>
      </c>
      <c r="F53" s="79">
        <f t="shared" si="0"/>
        <v>13437.98</v>
      </c>
      <c r="G53" s="110"/>
      <c r="H53" s="105"/>
      <c r="I53" s="105"/>
      <c r="J53" s="105"/>
      <c r="K53" s="105"/>
      <c r="L53" s="105"/>
      <c r="M53" s="105"/>
      <c r="N53" s="105"/>
    </row>
    <row r="54" customHeight="1" spans="1:14">
      <c r="A54" s="166"/>
      <c r="B54" s="167" t="s">
        <v>542</v>
      </c>
      <c r="C54" s="168" t="s">
        <v>214</v>
      </c>
      <c r="D54" s="18"/>
      <c r="E54" s="19">
        <v>75</v>
      </c>
      <c r="F54" s="79">
        <f t="shared" si="0"/>
        <v>13362.98</v>
      </c>
      <c r="G54" s="110"/>
      <c r="H54" s="105"/>
      <c r="I54" s="105"/>
      <c r="J54" s="105"/>
      <c r="K54" s="105"/>
      <c r="L54" s="105"/>
      <c r="M54" s="105"/>
      <c r="N54" s="105"/>
    </row>
    <row r="55" customHeight="1" spans="1:14">
      <c r="A55" s="166" t="s">
        <v>626</v>
      </c>
      <c r="B55" s="165" t="s">
        <v>627</v>
      </c>
      <c r="C55" s="77" t="s">
        <v>27</v>
      </c>
      <c r="D55" s="76"/>
      <c r="E55" s="78">
        <v>2759.28</v>
      </c>
      <c r="F55" s="79">
        <f t="shared" si="0"/>
        <v>10603.7</v>
      </c>
      <c r="G55" s="110"/>
      <c r="H55" s="105"/>
      <c r="I55" s="105"/>
      <c r="J55" s="105"/>
      <c r="K55" s="105"/>
      <c r="L55" s="105"/>
      <c r="M55" s="105"/>
      <c r="N55" s="105"/>
    </row>
    <row r="56" customHeight="1" spans="1:14">
      <c r="A56" s="166"/>
      <c r="B56" s="165" t="s">
        <v>331</v>
      </c>
      <c r="C56" s="77" t="s">
        <v>27</v>
      </c>
      <c r="D56" s="76"/>
      <c r="E56" s="78">
        <v>100</v>
      </c>
      <c r="F56" s="79">
        <f t="shared" si="0"/>
        <v>10503.7</v>
      </c>
      <c r="G56" s="118"/>
      <c r="H56" s="110"/>
      <c r="I56" s="110"/>
      <c r="J56" s="110"/>
      <c r="K56" s="110"/>
      <c r="L56" s="110"/>
      <c r="M56" s="110"/>
      <c r="N56" s="110"/>
    </row>
    <row r="57" customHeight="1" spans="1:14">
      <c r="A57" s="166"/>
      <c r="B57" s="165"/>
      <c r="C57" s="77" t="s">
        <v>219</v>
      </c>
      <c r="D57" s="76"/>
      <c r="E57" s="171">
        <v>75.04</v>
      </c>
      <c r="F57" s="79">
        <f t="shared" si="0"/>
        <v>10428.66</v>
      </c>
      <c r="G57" s="158"/>
      <c r="H57" s="77"/>
      <c r="I57" s="77"/>
      <c r="J57" s="77"/>
      <c r="K57" s="77"/>
      <c r="L57" s="158"/>
      <c r="M57" s="77"/>
      <c r="N57" s="158"/>
    </row>
    <row r="58" customHeight="1" spans="1:14">
      <c r="A58" s="166"/>
      <c r="B58" s="165" t="s">
        <v>628</v>
      </c>
      <c r="C58" s="77"/>
      <c r="D58" s="76">
        <v>1000</v>
      </c>
      <c r="E58" s="78"/>
      <c r="F58" s="79">
        <f t="shared" si="0"/>
        <v>11428.66</v>
      </c>
      <c r="G58" s="77">
        <f>ABS(G59-F59)</f>
        <v>0.00299999998787825</v>
      </c>
      <c r="H58" s="77"/>
      <c r="I58" s="77"/>
      <c r="J58" s="77"/>
      <c r="K58" s="77"/>
      <c r="L58" s="77"/>
      <c r="M58" s="77"/>
      <c r="N58" s="77"/>
    </row>
    <row r="59" customHeight="1" spans="1:14">
      <c r="A59" s="166"/>
      <c r="B59" s="37" t="s">
        <v>35</v>
      </c>
      <c r="C59" s="77"/>
      <c r="D59" s="76"/>
      <c r="E59" s="78">
        <v>19.99</v>
      </c>
      <c r="F59" s="79">
        <f t="shared" si="0"/>
        <v>11408.67</v>
      </c>
      <c r="G59" s="79">
        <f>H59+I59+J59+K59+L59+M59+N59</f>
        <v>11408.667</v>
      </c>
      <c r="H59" s="77">
        <v>0</v>
      </c>
      <c r="I59" s="105">
        <v>2773.077</v>
      </c>
      <c r="J59" s="77">
        <v>0</v>
      </c>
      <c r="K59" s="77">
        <v>0</v>
      </c>
      <c r="L59" s="77">
        <v>7511.59</v>
      </c>
      <c r="M59" s="77">
        <v>0</v>
      </c>
      <c r="N59" s="77">
        <f>1000+120+4</f>
        <v>1124</v>
      </c>
    </row>
    <row r="60" customHeight="1" spans="1:14">
      <c r="A60" s="169" t="s">
        <v>629</v>
      </c>
      <c r="B60" s="170" t="s">
        <v>630</v>
      </c>
      <c r="C60" s="86" t="s">
        <v>210</v>
      </c>
      <c r="D60" s="83"/>
      <c r="E60" s="84">
        <v>375</v>
      </c>
      <c r="F60" s="85">
        <f t="shared" si="0"/>
        <v>11033.67</v>
      </c>
      <c r="G60" s="28"/>
      <c r="H60" s="28"/>
      <c r="I60" s="28"/>
      <c r="J60" s="28"/>
      <c r="K60" s="28"/>
      <c r="L60" s="28"/>
      <c r="M60" s="28"/>
      <c r="N60" s="112"/>
    </row>
    <row r="61" customHeight="1" spans="1:14">
      <c r="A61" s="166"/>
      <c r="B61" s="165" t="s">
        <v>631</v>
      </c>
      <c r="C61" s="77" t="s">
        <v>210</v>
      </c>
      <c r="D61" s="76"/>
      <c r="E61" s="78">
        <v>400</v>
      </c>
      <c r="F61" s="79">
        <f t="shared" si="0"/>
        <v>10633.67</v>
      </c>
      <c r="G61" s="158"/>
      <c r="H61" s="158"/>
      <c r="I61" s="158"/>
      <c r="J61" s="158"/>
      <c r="K61" s="158"/>
      <c r="L61" s="158"/>
      <c r="M61" s="158"/>
      <c r="N61" s="158"/>
    </row>
    <row r="62" customHeight="1" spans="1:6">
      <c r="A62" s="166"/>
      <c r="B62" s="165" t="s">
        <v>632</v>
      </c>
      <c r="C62" s="77" t="s">
        <v>219</v>
      </c>
      <c r="D62" s="76"/>
      <c r="E62" s="78">
        <v>2</v>
      </c>
      <c r="F62" s="79">
        <f t="shared" si="0"/>
        <v>10631.67</v>
      </c>
    </row>
    <row r="63" customHeight="1" spans="1:6">
      <c r="A63" s="180"/>
      <c r="B63" s="167" t="s">
        <v>633</v>
      </c>
      <c r="C63" s="168" t="s">
        <v>27</v>
      </c>
      <c r="D63" s="18"/>
      <c r="E63" s="19">
        <v>588</v>
      </c>
      <c r="F63" s="79">
        <f t="shared" si="0"/>
        <v>10043.67</v>
      </c>
    </row>
    <row r="64" customHeight="1" spans="1:6">
      <c r="A64" s="180"/>
      <c r="B64" s="167" t="s">
        <v>634</v>
      </c>
      <c r="C64" s="168" t="s">
        <v>86</v>
      </c>
      <c r="D64" s="18"/>
      <c r="E64" s="19">
        <v>1023</v>
      </c>
      <c r="F64" s="79">
        <f t="shared" si="0"/>
        <v>9020.66999999999</v>
      </c>
    </row>
    <row r="65" customHeight="1" spans="1:6">
      <c r="A65" s="180"/>
      <c r="B65" s="167" t="s">
        <v>635</v>
      </c>
      <c r="C65" s="168" t="s">
        <v>210</v>
      </c>
      <c r="D65" s="18"/>
      <c r="E65" s="19">
        <v>88.7</v>
      </c>
      <c r="F65" s="79">
        <f t="shared" si="0"/>
        <v>8931.96999999999</v>
      </c>
    </row>
    <row r="66" customHeight="1" spans="1:6">
      <c r="A66" s="166" t="s">
        <v>636</v>
      </c>
      <c r="B66" s="165" t="s">
        <v>34</v>
      </c>
      <c r="C66" s="77" t="s">
        <v>224</v>
      </c>
      <c r="D66" s="76"/>
      <c r="E66" s="78">
        <v>209.54</v>
      </c>
      <c r="F66" s="79">
        <f t="shared" si="0"/>
        <v>8722.42999999999</v>
      </c>
    </row>
    <row r="67" customHeight="1" spans="1:14">
      <c r="A67" s="166"/>
      <c r="B67" s="165" t="s">
        <v>637</v>
      </c>
      <c r="C67" s="77" t="s">
        <v>210</v>
      </c>
      <c r="D67" s="76"/>
      <c r="E67" s="78">
        <v>450</v>
      </c>
      <c r="F67" s="79">
        <f t="shared" si="0"/>
        <v>8272.42999999999</v>
      </c>
      <c r="G67" s="110"/>
      <c r="H67" s="105"/>
      <c r="I67" s="105"/>
      <c r="J67" s="105"/>
      <c r="K67" s="105"/>
      <c r="L67" s="105"/>
      <c r="M67" s="105"/>
      <c r="N67" s="105"/>
    </row>
    <row r="68" customHeight="1" spans="1:14">
      <c r="A68" s="166"/>
      <c r="B68" s="165"/>
      <c r="C68" s="77" t="s">
        <v>219</v>
      </c>
      <c r="D68" s="76"/>
      <c r="E68" s="78">
        <v>120</v>
      </c>
      <c r="F68" s="79">
        <f t="shared" si="0"/>
        <v>8152.42999999999</v>
      </c>
      <c r="G68" s="77"/>
      <c r="H68" s="77"/>
      <c r="I68" s="77"/>
      <c r="J68" s="77"/>
      <c r="K68" s="77"/>
      <c r="L68" s="77"/>
      <c r="M68" s="77"/>
      <c r="N68" s="77"/>
    </row>
    <row r="69" customHeight="1" spans="1:14">
      <c r="A69" s="166" t="s">
        <v>638</v>
      </c>
      <c r="B69" s="165" t="s">
        <v>639</v>
      </c>
      <c r="C69" s="77" t="s">
        <v>224</v>
      </c>
      <c r="D69" s="76"/>
      <c r="E69" s="78">
        <v>25</v>
      </c>
      <c r="F69" s="79">
        <f t="shared" si="0"/>
        <v>8127.42999999999</v>
      </c>
      <c r="G69" s="77"/>
      <c r="H69" s="77"/>
      <c r="I69" s="77"/>
      <c r="J69" s="77"/>
      <c r="K69" s="77"/>
      <c r="L69" s="77"/>
      <c r="M69" s="77"/>
      <c r="N69" s="77"/>
    </row>
    <row r="70" customHeight="1" spans="1:14">
      <c r="A70" s="166"/>
      <c r="B70" s="165" t="s">
        <v>640</v>
      </c>
      <c r="C70" s="77" t="s">
        <v>245</v>
      </c>
      <c r="D70" s="76"/>
      <c r="E70" s="78">
        <v>20</v>
      </c>
      <c r="F70" s="79">
        <f t="shared" si="0"/>
        <v>8107.42999999999</v>
      </c>
      <c r="G70" s="77">
        <f>ABS(G71-F79)</f>
        <v>2449.13700000001</v>
      </c>
      <c r="H70" s="77"/>
      <c r="I70" s="77"/>
      <c r="J70" s="77"/>
      <c r="K70" s="77"/>
      <c r="L70" s="77"/>
      <c r="M70" s="77"/>
      <c r="N70" s="77"/>
    </row>
    <row r="71" customHeight="1" spans="1:14">
      <c r="A71" s="180"/>
      <c r="B71" s="167" t="s">
        <v>641</v>
      </c>
      <c r="C71" s="168" t="s">
        <v>219</v>
      </c>
      <c r="D71" s="18"/>
      <c r="E71" s="19">
        <v>300.9</v>
      </c>
      <c r="F71" s="79">
        <f t="shared" si="0"/>
        <v>7806.52999999999</v>
      </c>
      <c r="G71" s="79">
        <f>H71+I71+J71+K71+L71+M71+N71</f>
        <v>9807.127</v>
      </c>
      <c r="H71" s="77">
        <v>0</v>
      </c>
      <c r="I71" s="105">
        <v>2773.077</v>
      </c>
      <c r="J71" s="77">
        <v>0</v>
      </c>
      <c r="K71" s="77">
        <v>0</v>
      </c>
      <c r="L71" s="77">
        <v>6032.05</v>
      </c>
      <c r="M71" s="77">
        <v>0</v>
      </c>
      <c r="N71" s="77">
        <f>1000+2</f>
        <v>1002</v>
      </c>
    </row>
    <row r="72" customHeight="1" spans="1:14">
      <c r="A72" s="169" t="s">
        <v>642</v>
      </c>
      <c r="B72" s="170" t="s">
        <v>407</v>
      </c>
      <c r="C72" s="86" t="s">
        <v>27</v>
      </c>
      <c r="D72" s="83"/>
      <c r="E72" s="84">
        <v>100</v>
      </c>
      <c r="F72" s="85">
        <f t="shared" si="0"/>
        <v>7706.52999999999</v>
      </c>
      <c r="G72" s="182"/>
      <c r="H72" s="111"/>
      <c r="I72" s="111"/>
      <c r="J72" s="188"/>
      <c r="K72" s="111"/>
      <c r="L72" s="111"/>
      <c r="M72" s="111"/>
      <c r="N72" s="111"/>
    </row>
    <row r="73" customHeight="1" spans="1:14">
      <c r="A73" s="183"/>
      <c r="B73" s="165" t="s">
        <v>643</v>
      </c>
      <c r="C73" s="77" t="s">
        <v>245</v>
      </c>
      <c r="D73" s="76"/>
      <c r="E73" s="78">
        <v>100</v>
      </c>
      <c r="F73" s="79">
        <f t="shared" si="0"/>
        <v>7606.52999999999</v>
      </c>
      <c r="G73" s="77"/>
      <c r="H73" s="77"/>
      <c r="I73" s="77"/>
      <c r="J73" s="77"/>
      <c r="K73" s="77"/>
      <c r="L73" s="77"/>
      <c r="M73" s="77"/>
      <c r="N73" s="77"/>
    </row>
    <row r="74" customHeight="1" spans="1:14">
      <c r="A74" s="183"/>
      <c r="B74" s="165" t="s">
        <v>224</v>
      </c>
      <c r="C74" s="77" t="s">
        <v>224</v>
      </c>
      <c r="D74" s="76"/>
      <c r="E74" s="78">
        <v>272.25</v>
      </c>
      <c r="F74" s="79">
        <f t="shared" si="0"/>
        <v>7334.27999999999</v>
      </c>
      <c r="G74" s="79"/>
      <c r="H74" s="77"/>
      <c r="I74" s="77"/>
      <c r="J74" s="77"/>
      <c r="K74" s="77"/>
      <c r="L74" s="77"/>
      <c r="M74" s="77"/>
      <c r="N74" s="77"/>
    </row>
    <row r="75" customHeight="1" spans="1:14">
      <c r="A75" s="183"/>
      <c r="B75" s="165" t="s">
        <v>33</v>
      </c>
      <c r="C75" s="77" t="s">
        <v>201</v>
      </c>
      <c r="D75" s="76"/>
      <c r="E75" s="78">
        <v>202</v>
      </c>
      <c r="F75" s="79">
        <f t="shared" si="0"/>
        <v>7132.27999999999</v>
      </c>
      <c r="G75" s="110"/>
      <c r="H75" s="110"/>
      <c r="I75" s="110"/>
      <c r="J75" s="59"/>
      <c r="K75" s="110"/>
      <c r="L75" s="110"/>
      <c r="M75" s="110"/>
      <c r="N75" s="110"/>
    </row>
    <row r="76" customHeight="1" spans="1:6">
      <c r="A76" s="183" t="s">
        <v>644</v>
      </c>
      <c r="B76" s="165" t="s">
        <v>645</v>
      </c>
      <c r="C76" s="77" t="s">
        <v>224</v>
      </c>
      <c r="D76" s="76"/>
      <c r="E76" s="78">
        <f>25+30</f>
        <v>55</v>
      </c>
      <c r="F76" s="79">
        <f t="shared" si="0"/>
        <v>7077.27999999999</v>
      </c>
    </row>
    <row r="77" customHeight="1" spans="1:14">
      <c r="A77" s="183"/>
      <c r="B77" s="167" t="s">
        <v>646</v>
      </c>
      <c r="C77" s="168" t="s">
        <v>245</v>
      </c>
      <c r="D77" s="18"/>
      <c r="E77" s="19">
        <v>338.49</v>
      </c>
      <c r="F77" s="79">
        <f t="shared" si="0"/>
        <v>6738.78999999999</v>
      </c>
      <c r="G77" s="77"/>
      <c r="H77" s="77"/>
      <c r="I77" s="77"/>
      <c r="J77" s="77"/>
      <c r="K77" s="77"/>
      <c r="L77" s="77"/>
      <c r="M77" s="77"/>
      <c r="N77" s="77"/>
    </row>
    <row r="78" customHeight="1" spans="1:14">
      <c r="A78" s="183" t="s">
        <v>647</v>
      </c>
      <c r="B78" s="165"/>
      <c r="C78" s="77" t="s">
        <v>219</v>
      </c>
      <c r="D78" s="76"/>
      <c r="E78" s="171">
        <v>681.9</v>
      </c>
      <c r="F78" s="79">
        <f t="shared" si="0"/>
        <v>6056.88999999999</v>
      </c>
      <c r="G78" s="77">
        <f>ABS(G79-F86)</f>
        <v>4256.11700000001</v>
      </c>
      <c r="H78" s="77"/>
      <c r="I78" s="77"/>
      <c r="J78" s="77"/>
      <c r="K78" s="77"/>
      <c r="L78" s="77"/>
      <c r="M78" s="77"/>
      <c r="N78" s="77"/>
    </row>
    <row r="79" customHeight="1" spans="1:14">
      <c r="A79" s="183"/>
      <c r="B79" s="165" t="s">
        <v>648</v>
      </c>
      <c r="C79" s="77"/>
      <c r="D79" s="76">
        <v>1301.1</v>
      </c>
      <c r="E79" s="78"/>
      <c r="F79" s="79">
        <f t="shared" si="0"/>
        <v>7357.98999999999</v>
      </c>
      <c r="G79" s="79">
        <f>H79+I79+J79+K79+L79+M79+N79</f>
        <v>9699.077</v>
      </c>
      <c r="H79" s="77">
        <v>0</v>
      </c>
      <c r="I79" s="105">
        <v>2773.077</v>
      </c>
      <c r="J79" s="77">
        <v>0</v>
      </c>
      <c r="K79" s="77">
        <v>0</v>
      </c>
      <c r="L79" s="77">
        <v>6124</v>
      </c>
      <c r="M79" s="77">
        <v>0</v>
      </c>
      <c r="N79" s="77">
        <f>800+2</f>
        <v>802</v>
      </c>
    </row>
    <row r="80" customHeight="1" spans="1:14">
      <c r="A80" s="184" t="s">
        <v>649</v>
      </c>
      <c r="B80" s="170" t="s">
        <v>228</v>
      </c>
      <c r="C80" s="86" t="s">
        <v>27</v>
      </c>
      <c r="D80" s="83"/>
      <c r="E80" s="185">
        <v>510.68</v>
      </c>
      <c r="F80" s="85">
        <f t="shared" si="0"/>
        <v>6847.30999999999</v>
      </c>
      <c r="G80" s="28"/>
      <c r="H80" s="28"/>
      <c r="I80" s="28"/>
      <c r="J80" s="28"/>
      <c r="K80" s="28"/>
      <c r="L80" s="28"/>
      <c r="M80" s="28"/>
      <c r="N80" s="28"/>
    </row>
    <row r="81" customHeight="1" spans="1:14">
      <c r="A81" s="183"/>
      <c r="B81" s="165" t="s">
        <v>650</v>
      </c>
      <c r="C81" s="77" t="s">
        <v>86</v>
      </c>
      <c r="D81" s="76"/>
      <c r="E81" s="78">
        <v>40</v>
      </c>
      <c r="F81" s="79">
        <f t="shared" si="0"/>
        <v>6807.30999999999</v>
      </c>
      <c r="G81" s="118"/>
      <c r="H81" s="158"/>
      <c r="I81" s="158"/>
      <c r="J81" s="158"/>
      <c r="K81" s="158"/>
      <c r="L81" s="158"/>
      <c r="M81" s="158"/>
      <c r="N81" s="158"/>
    </row>
    <row r="82" customHeight="1" spans="1:14">
      <c r="A82" s="183" t="s">
        <v>651</v>
      </c>
      <c r="B82" s="165" t="s">
        <v>413</v>
      </c>
      <c r="C82" s="77" t="s">
        <v>245</v>
      </c>
      <c r="D82" s="76"/>
      <c r="E82" s="171">
        <v>210</v>
      </c>
      <c r="F82" s="79">
        <f t="shared" si="0"/>
        <v>6597.30999999999</v>
      </c>
      <c r="G82" s="158"/>
      <c r="H82" s="158"/>
      <c r="I82" s="158"/>
      <c r="J82" s="158"/>
      <c r="K82" s="158"/>
      <c r="L82" s="158"/>
      <c r="M82" s="158"/>
      <c r="N82" s="158"/>
    </row>
    <row r="83" customHeight="1" spans="1:14">
      <c r="A83" s="183"/>
      <c r="B83" s="165" t="s">
        <v>652</v>
      </c>
      <c r="C83" s="77" t="s">
        <v>86</v>
      </c>
      <c r="D83" s="76"/>
      <c r="E83" s="78">
        <v>867</v>
      </c>
      <c r="F83" s="79">
        <f t="shared" si="0"/>
        <v>5730.30999999999</v>
      </c>
      <c r="G83" s="77"/>
      <c r="H83" s="77"/>
      <c r="I83" s="77"/>
      <c r="J83" s="77"/>
      <c r="K83" s="77"/>
      <c r="L83" s="77"/>
      <c r="M83" s="77"/>
      <c r="N83" s="77"/>
    </row>
    <row r="84" customHeight="1" spans="1:14">
      <c r="A84" s="183"/>
      <c r="B84" s="165" t="s">
        <v>653</v>
      </c>
      <c r="C84" s="77" t="s">
        <v>27</v>
      </c>
      <c r="D84" s="76"/>
      <c r="E84" s="78">
        <v>197.35</v>
      </c>
      <c r="F84" s="79">
        <f t="shared" si="0"/>
        <v>5532.95999999999</v>
      </c>
      <c r="G84" s="79"/>
      <c r="H84" s="77"/>
      <c r="I84" s="77"/>
      <c r="J84" s="77"/>
      <c r="K84" s="77"/>
      <c r="L84" s="77"/>
      <c r="M84" s="77"/>
      <c r="N84" s="77"/>
    </row>
    <row r="85" customHeight="1" spans="1:6">
      <c r="A85" s="183"/>
      <c r="B85" s="165" t="s">
        <v>654</v>
      </c>
      <c r="C85" s="77" t="s">
        <v>27</v>
      </c>
      <c r="D85" s="76"/>
      <c r="E85" s="78">
        <v>50</v>
      </c>
      <c r="F85" s="79">
        <f t="shared" si="0"/>
        <v>5482.95999999999</v>
      </c>
    </row>
    <row r="86" customHeight="1" spans="1:6">
      <c r="A86" s="183"/>
      <c r="B86" s="165" t="s">
        <v>655</v>
      </c>
      <c r="C86" s="77" t="s">
        <v>214</v>
      </c>
      <c r="D86" s="76"/>
      <c r="E86" s="78">
        <v>40</v>
      </c>
      <c r="F86" s="79">
        <f t="shared" si="0"/>
        <v>5442.95999999999</v>
      </c>
    </row>
    <row r="87" customHeight="1" spans="1:14">
      <c r="A87" s="186"/>
      <c r="B87" s="167" t="s">
        <v>656</v>
      </c>
      <c r="C87" s="168"/>
      <c r="D87" s="18">
        <v>500</v>
      </c>
      <c r="E87" s="19"/>
      <c r="F87" s="79">
        <f t="shared" si="0"/>
        <v>5942.95999999999</v>
      </c>
      <c r="G87" s="158"/>
      <c r="H87" s="158"/>
      <c r="I87" s="158"/>
      <c r="J87" s="158"/>
      <c r="K87" s="158"/>
      <c r="L87" s="158"/>
      <c r="M87" s="158"/>
      <c r="N87" s="158"/>
    </row>
    <row r="88" customHeight="1" spans="1:14">
      <c r="A88" s="186"/>
      <c r="B88" s="167" t="s">
        <v>657</v>
      </c>
      <c r="C88" s="168" t="s">
        <v>219</v>
      </c>
      <c r="D88" s="18"/>
      <c r="E88" s="19">
        <v>69</v>
      </c>
      <c r="F88" s="79">
        <f t="shared" si="0"/>
        <v>5873.95999999999</v>
      </c>
      <c r="G88" s="158"/>
      <c r="H88" s="158"/>
      <c r="I88" s="158"/>
      <c r="J88" s="158"/>
      <c r="K88" s="158"/>
      <c r="L88" s="158"/>
      <c r="M88" s="158"/>
      <c r="N88" s="158"/>
    </row>
    <row r="89" customHeight="1" spans="1:14">
      <c r="A89" s="186"/>
      <c r="B89" s="167" t="s">
        <v>658</v>
      </c>
      <c r="C89" s="168" t="s">
        <v>27</v>
      </c>
      <c r="D89" s="18"/>
      <c r="E89" s="19">
        <v>333.67</v>
      </c>
      <c r="F89" s="79">
        <f t="shared" si="0"/>
        <v>5540.28999999999</v>
      </c>
      <c r="G89" s="158"/>
      <c r="H89" s="158"/>
      <c r="I89" s="158"/>
      <c r="J89" s="158"/>
      <c r="K89" s="158"/>
      <c r="L89" s="158"/>
      <c r="M89" s="158"/>
      <c r="N89" s="158"/>
    </row>
    <row r="90" customHeight="1" spans="1:14">
      <c r="A90" s="186"/>
      <c r="B90" s="167" t="s">
        <v>659</v>
      </c>
      <c r="C90" s="168" t="s">
        <v>201</v>
      </c>
      <c r="D90" s="18"/>
      <c r="E90" s="19">
        <v>250</v>
      </c>
      <c r="F90" s="79">
        <f t="shared" si="0"/>
        <v>5290.28999999999</v>
      </c>
      <c r="G90" s="158"/>
      <c r="H90" s="158"/>
      <c r="I90" s="158"/>
      <c r="J90" s="158"/>
      <c r="K90" s="158"/>
      <c r="L90" s="158"/>
      <c r="M90" s="158"/>
      <c r="N90" s="158"/>
    </row>
    <row r="91" customHeight="1" spans="1:14">
      <c r="A91" s="183" t="s">
        <v>660</v>
      </c>
      <c r="B91" s="165" t="s">
        <v>285</v>
      </c>
      <c r="C91" s="77" t="s">
        <v>281</v>
      </c>
      <c r="D91" s="76"/>
      <c r="E91" s="78">
        <v>1143.6</v>
      </c>
      <c r="F91" s="79">
        <f t="shared" si="0"/>
        <v>4146.68999999999</v>
      </c>
      <c r="G91" s="158"/>
      <c r="H91" s="158"/>
      <c r="I91" s="158"/>
      <c r="J91" s="158"/>
      <c r="K91" s="158"/>
      <c r="L91" s="158"/>
      <c r="M91" s="158"/>
      <c r="N91" s="158"/>
    </row>
    <row r="92" customHeight="1" spans="1:14">
      <c r="A92" s="183"/>
      <c r="B92" s="165" t="s">
        <v>661</v>
      </c>
      <c r="C92" s="77" t="s">
        <v>201</v>
      </c>
      <c r="D92" s="76"/>
      <c r="E92" s="78">
        <v>210</v>
      </c>
      <c r="F92" s="79">
        <f t="shared" si="0"/>
        <v>3936.68999999999</v>
      </c>
      <c r="G92" s="158"/>
      <c r="H92" s="158"/>
      <c r="I92" s="158"/>
      <c r="J92" s="158"/>
      <c r="K92" s="158"/>
      <c r="L92" s="158"/>
      <c r="M92" s="158"/>
      <c r="N92" s="158"/>
    </row>
    <row r="93" customHeight="1" spans="1:14">
      <c r="A93" s="183"/>
      <c r="B93" s="165" t="s">
        <v>662</v>
      </c>
      <c r="C93" s="77" t="s">
        <v>27</v>
      </c>
      <c r="D93" s="76"/>
      <c r="E93" s="78">
        <v>279.25</v>
      </c>
      <c r="F93" s="79">
        <f t="shared" si="0"/>
        <v>3657.43999999999</v>
      </c>
      <c r="G93" s="158"/>
      <c r="H93" s="158"/>
      <c r="I93" s="158"/>
      <c r="J93" s="158"/>
      <c r="K93" s="158"/>
      <c r="L93" s="158"/>
      <c r="M93" s="158"/>
      <c r="N93" s="158"/>
    </row>
    <row r="94" customHeight="1" spans="1:14">
      <c r="A94" s="183" t="s">
        <v>663</v>
      </c>
      <c r="B94" s="165" t="s">
        <v>136</v>
      </c>
      <c r="C94" s="77" t="s">
        <v>281</v>
      </c>
      <c r="D94" s="76"/>
      <c r="E94" s="78">
        <v>1144.5</v>
      </c>
      <c r="F94" s="79">
        <f t="shared" si="0"/>
        <v>2512.93999999999</v>
      </c>
      <c r="G94" s="110"/>
      <c r="H94" s="110"/>
      <c r="I94" s="110"/>
      <c r="J94" s="110"/>
      <c r="K94" s="110"/>
      <c r="L94" s="110"/>
      <c r="M94" s="110"/>
      <c r="N94" s="110"/>
    </row>
    <row r="95" customHeight="1" spans="1:14">
      <c r="A95" s="183"/>
      <c r="B95" s="165" t="s">
        <v>664</v>
      </c>
      <c r="C95" s="77" t="s">
        <v>219</v>
      </c>
      <c r="D95" s="76"/>
      <c r="E95" s="78">
        <v>300.9</v>
      </c>
      <c r="F95" s="79">
        <f t="shared" si="0"/>
        <v>2212.03999999999</v>
      </c>
      <c r="G95" s="77"/>
      <c r="H95" s="77"/>
      <c r="I95" s="77"/>
      <c r="J95" s="77"/>
      <c r="K95" s="77"/>
      <c r="L95" s="77"/>
      <c r="M95" s="77"/>
      <c r="N95" s="77"/>
    </row>
    <row r="96" customHeight="1" spans="1:6">
      <c r="A96" s="186"/>
      <c r="B96" s="167" t="s">
        <v>665</v>
      </c>
      <c r="C96" s="168" t="s">
        <v>27</v>
      </c>
      <c r="D96" s="18"/>
      <c r="E96" s="19">
        <v>510.37</v>
      </c>
      <c r="F96" s="79">
        <f t="shared" si="0"/>
        <v>1701.66999999999</v>
      </c>
    </row>
    <row r="97" customHeight="1" spans="1:14">
      <c r="A97" s="183" t="s">
        <v>666</v>
      </c>
      <c r="B97" s="165" t="s">
        <v>667</v>
      </c>
      <c r="C97" s="77" t="s">
        <v>27</v>
      </c>
      <c r="D97" s="76"/>
      <c r="E97" s="78">
        <v>143</v>
      </c>
      <c r="F97" s="79">
        <f t="shared" si="0"/>
        <v>1558.66999999999</v>
      </c>
      <c r="G97" s="77">
        <f>ABS(G98-F107)</f>
        <v>7769.73999999999</v>
      </c>
      <c r="H97" s="77"/>
      <c r="I97" s="77"/>
      <c r="J97" s="77"/>
      <c r="K97" s="77"/>
      <c r="L97" s="77"/>
      <c r="M97" s="77"/>
      <c r="N97" s="77"/>
    </row>
    <row r="98" customHeight="1" spans="1:14">
      <c r="A98" s="47"/>
      <c r="B98" s="165" t="s">
        <v>668</v>
      </c>
      <c r="C98" s="77"/>
      <c r="D98" s="76">
        <v>10</v>
      </c>
      <c r="E98" s="78"/>
      <c r="F98" s="79">
        <f t="shared" si="0"/>
        <v>1568.66999999999</v>
      </c>
      <c r="G98" s="79">
        <f>H98+I98+J98+K98+L98+M98+N98</f>
        <v>1568.66</v>
      </c>
      <c r="H98" s="77">
        <v>0</v>
      </c>
      <c r="I98" s="105">
        <v>280.94</v>
      </c>
      <c r="J98" s="77">
        <v>0</v>
      </c>
      <c r="K98" s="77">
        <v>0</v>
      </c>
      <c r="L98" s="77">
        <v>930.72</v>
      </c>
      <c r="M98" s="77">
        <v>0</v>
      </c>
      <c r="N98" s="77">
        <f>357</f>
        <v>357</v>
      </c>
    </row>
    <row r="99" customHeight="1" spans="1:14">
      <c r="A99" s="162" t="s">
        <v>669</v>
      </c>
      <c r="B99" s="170" t="s">
        <v>91</v>
      </c>
      <c r="C99" s="86" t="s">
        <v>245</v>
      </c>
      <c r="D99" s="83"/>
      <c r="E99" s="84">
        <v>38</v>
      </c>
      <c r="F99" s="85">
        <f t="shared" si="0"/>
        <v>1530.66999999999</v>
      </c>
      <c r="G99" s="28"/>
      <c r="H99" s="28"/>
      <c r="I99" s="28"/>
      <c r="J99" s="28"/>
      <c r="K99" s="28"/>
      <c r="L99" s="28"/>
      <c r="M99" s="28"/>
      <c r="N99" s="28"/>
    </row>
    <row r="100" customHeight="1" spans="1:6">
      <c r="A100" s="183"/>
      <c r="B100" s="165" t="s">
        <v>19</v>
      </c>
      <c r="C100" s="77" t="s">
        <v>27</v>
      </c>
      <c r="D100" s="76"/>
      <c r="E100" s="78">
        <v>60</v>
      </c>
      <c r="F100" s="79">
        <f t="shared" si="0"/>
        <v>1470.66999999999</v>
      </c>
    </row>
    <row r="101" customHeight="1" spans="1:14">
      <c r="A101" s="183" t="s">
        <v>670</v>
      </c>
      <c r="B101" s="165" t="s">
        <v>671</v>
      </c>
      <c r="C101" s="77" t="s">
        <v>27</v>
      </c>
      <c r="D101" s="76"/>
      <c r="E101" s="78">
        <v>341.37</v>
      </c>
      <c r="F101" s="79">
        <f t="shared" si="0"/>
        <v>1129.29999999999</v>
      </c>
      <c r="G101" s="122"/>
      <c r="H101" s="123"/>
      <c r="I101" s="122"/>
      <c r="J101" s="122"/>
      <c r="K101" s="122"/>
      <c r="L101" s="122"/>
      <c r="M101" s="122"/>
      <c r="N101" s="158"/>
    </row>
    <row r="102" customHeight="1" spans="1:14">
      <c r="A102" s="183"/>
      <c r="B102" s="165" t="s">
        <v>37</v>
      </c>
      <c r="C102" s="77" t="s">
        <v>86</v>
      </c>
      <c r="D102" s="76"/>
      <c r="E102" s="78">
        <v>260</v>
      </c>
      <c r="F102" s="79">
        <f t="shared" si="0"/>
        <v>869.299999999988</v>
      </c>
      <c r="G102" s="110"/>
      <c r="H102" s="110"/>
      <c r="I102" s="110"/>
      <c r="J102" s="59"/>
      <c r="K102" s="110"/>
      <c r="L102" s="110"/>
      <c r="M102" s="110"/>
      <c r="N102" s="110"/>
    </row>
    <row r="103" customHeight="1" spans="1:14">
      <c r="A103" s="186"/>
      <c r="B103" s="167" t="s">
        <v>672</v>
      </c>
      <c r="C103" s="168"/>
      <c r="D103" s="18">
        <v>10000</v>
      </c>
      <c r="E103" s="19"/>
      <c r="F103" s="79">
        <f t="shared" si="0"/>
        <v>10869.3</v>
      </c>
      <c r="G103" s="124"/>
      <c r="H103" s="125"/>
      <c r="I103" s="125"/>
      <c r="J103" s="125"/>
      <c r="K103" s="125"/>
      <c r="L103" s="125"/>
      <c r="M103" s="125"/>
      <c r="N103" s="124"/>
    </row>
    <row r="104" customHeight="1" spans="1:14">
      <c r="A104" s="183" t="s">
        <v>673</v>
      </c>
      <c r="B104" s="165"/>
      <c r="C104" s="77" t="s">
        <v>219</v>
      </c>
      <c r="D104" s="76"/>
      <c r="E104" s="78">
        <v>200</v>
      </c>
      <c r="F104" s="79">
        <f t="shared" si="0"/>
        <v>10669.3</v>
      </c>
      <c r="G104" s="124"/>
      <c r="H104" s="125"/>
      <c r="I104" s="125"/>
      <c r="J104" s="125"/>
      <c r="K104" s="125"/>
      <c r="L104" s="125"/>
      <c r="M104" s="125"/>
      <c r="N104" s="124"/>
    </row>
    <row r="105" customHeight="1" spans="1:14">
      <c r="A105" s="183"/>
      <c r="B105" s="165" t="s">
        <v>129</v>
      </c>
      <c r="C105" s="77" t="s">
        <v>210</v>
      </c>
      <c r="D105" s="76"/>
      <c r="E105" s="78">
        <f>355+275+385</f>
        <v>1015</v>
      </c>
      <c r="F105" s="79">
        <f t="shared" si="0"/>
        <v>9654.29999999999</v>
      </c>
      <c r="G105" s="110"/>
      <c r="H105" s="110"/>
      <c r="I105" s="110"/>
      <c r="J105" s="110"/>
      <c r="K105" s="110"/>
      <c r="L105" s="110"/>
      <c r="M105" s="110"/>
      <c r="N105" s="110"/>
    </row>
    <row r="106" customHeight="1" spans="1:14">
      <c r="A106" s="183"/>
      <c r="B106" s="167" t="s">
        <v>674</v>
      </c>
      <c r="C106" s="168" t="s">
        <v>27</v>
      </c>
      <c r="D106" s="18"/>
      <c r="E106" s="19">
        <v>309.99</v>
      </c>
      <c r="F106" s="79">
        <f t="shared" si="0"/>
        <v>9344.30999999999</v>
      </c>
      <c r="G106" s="77">
        <f>ABS(G107-F119)</f>
        <v>1.2732925824821e-11</v>
      </c>
      <c r="H106" s="77"/>
      <c r="I106" s="77"/>
      <c r="J106" s="77"/>
      <c r="K106" s="77"/>
      <c r="L106" s="77"/>
      <c r="M106" s="77"/>
      <c r="N106" s="77"/>
    </row>
    <row r="107" customHeight="1" spans="1:14">
      <c r="A107" s="183"/>
      <c r="B107" s="187" t="s">
        <v>35</v>
      </c>
      <c r="C107" s="77"/>
      <c r="D107" s="76"/>
      <c r="E107" s="78">
        <v>5.91</v>
      </c>
      <c r="F107" s="79">
        <f t="shared" si="0"/>
        <v>9338.39999999999</v>
      </c>
      <c r="G107" s="79">
        <f>H107+I107+J107+K107+L107+M107+N107</f>
        <v>9338.4</v>
      </c>
      <c r="H107" s="77">
        <v>0</v>
      </c>
      <c r="I107" s="105">
        <f>8970.95-630</f>
        <v>8340.95</v>
      </c>
      <c r="J107" s="77">
        <v>0</v>
      </c>
      <c r="K107" s="77">
        <v>0</v>
      </c>
      <c r="L107" s="77">
        <v>840.45</v>
      </c>
      <c r="M107" s="77">
        <v>0</v>
      </c>
      <c r="N107" s="77">
        <f>157</f>
        <v>157</v>
      </c>
    </row>
    <row r="108" customHeight="1" spans="1:14">
      <c r="A108" s="184"/>
      <c r="B108" s="170"/>
      <c r="C108" s="86"/>
      <c r="D108" s="83"/>
      <c r="E108" s="84"/>
      <c r="F108" s="85">
        <f t="shared" si="0"/>
        <v>9338.39999999999</v>
      </c>
      <c r="G108" s="86"/>
      <c r="H108" s="86"/>
      <c r="I108" s="86"/>
      <c r="J108" s="86"/>
      <c r="K108" s="86"/>
      <c r="L108" s="86"/>
      <c r="M108" s="86"/>
      <c r="N108" s="86"/>
    </row>
    <row r="109" customHeight="1" spans="1:14">
      <c r="A109" s="183"/>
      <c r="B109" s="165"/>
      <c r="C109" s="77"/>
      <c r="D109" s="76"/>
      <c r="E109" s="78"/>
      <c r="F109" s="79">
        <f t="shared" si="0"/>
        <v>9338.39999999999</v>
      </c>
      <c r="G109" s="79"/>
      <c r="H109" s="77"/>
      <c r="I109" s="77"/>
      <c r="J109" s="77"/>
      <c r="K109" s="77"/>
      <c r="L109" s="77"/>
      <c r="M109" s="77"/>
      <c r="N109" s="77"/>
    </row>
    <row r="110" customHeight="1" spans="1:14">
      <c r="A110" s="183"/>
      <c r="B110" s="165"/>
      <c r="C110" s="77"/>
      <c r="D110" s="76"/>
      <c r="E110" s="78"/>
      <c r="F110" s="79">
        <f t="shared" si="0"/>
        <v>9338.39999999999</v>
      </c>
      <c r="G110" s="110"/>
      <c r="H110" s="110"/>
      <c r="I110" s="110"/>
      <c r="J110" s="110"/>
      <c r="K110" s="110"/>
      <c r="L110" s="110"/>
      <c r="M110" s="110"/>
      <c r="N110" s="110"/>
    </row>
    <row r="111" customHeight="1" spans="1:6">
      <c r="A111" s="183"/>
      <c r="B111" s="165"/>
      <c r="C111" s="77"/>
      <c r="D111" s="76"/>
      <c r="E111" s="78"/>
      <c r="F111" s="79">
        <f t="shared" si="0"/>
        <v>9338.39999999999</v>
      </c>
    </row>
    <row r="112" customHeight="1" spans="1:6">
      <c r="A112" s="183"/>
      <c r="B112" s="165"/>
      <c r="C112" s="77"/>
      <c r="D112" s="76"/>
      <c r="E112" s="78"/>
      <c r="F112" s="79">
        <f t="shared" si="0"/>
        <v>9338.39999999999</v>
      </c>
    </row>
    <row r="113" customHeight="1" spans="1:14">
      <c r="A113" s="183"/>
      <c r="B113" s="165"/>
      <c r="C113" s="77"/>
      <c r="D113" s="76"/>
      <c r="E113" s="78"/>
      <c r="F113" s="79">
        <f t="shared" si="0"/>
        <v>9338.39999999999</v>
      </c>
      <c r="G113" s="110"/>
      <c r="H113" s="110"/>
      <c r="I113" s="110"/>
      <c r="J113" s="110"/>
      <c r="K113" s="110"/>
      <c r="L113" s="110"/>
      <c r="M113" s="110"/>
      <c r="N113" s="110"/>
    </row>
    <row r="114" customHeight="1" spans="1:14">
      <c r="A114" s="183"/>
      <c r="B114" s="165"/>
      <c r="C114" s="77"/>
      <c r="D114" s="76"/>
      <c r="E114" s="78"/>
      <c r="F114" s="79">
        <f t="shared" si="0"/>
        <v>9338.39999999999</v>
      </c>
      <c r="G114" s="124"/>
      <c r="H114" s="125"/>
      <c r="I114" s="125"/>
      <c r="J114" s="125"/>
      <c r="K114" s="125"/>
      <c r="L114" s="125"/>
      <c r="M114" s="125"/>
      <c r="N114" s="124"/>
    </row>
    <row r="115" customHeight="1" spans="1:14">
      <c r="A115" s="183"/>
      <c r="B115" s="165"/>
      <c r="C115" s="77"/>
      <c r="D115" s="76"/>
      <c r="E115" s="78"/>
      <c r="F115" s="79">
        <f t="shared" si="0"/>
        <v>9338.39999999999</v>
      </c>
      <c r="G115" s="77"/>
      <c r="H115" s="77"/>
      <c r="I115" s="77"/>
      <c r="J115" s="77"/>
      <c r="K115" s="77"/>
      <c r="L115" s="110"/>
      <c r="M115" s="77"/>
      <c r="N115" s="77"/>
    </row>
    <row r="116" customHeight="1" spans="1:14">
      <c r="A116" s="183"/>
      <c r="B116" s="165"/>
      <c r="C116" s="77"/>
      <c r="D116" s="76"/>
      <c r="E116" s="78"/>
      <c r="F116" s="79">
        <f t="shared" si="0"/>
        <v>9338.39999999999</v>
      </c>
      <c r="G116" s="110"/>
      <c r="H116" s="110"/>
      <c r="I116" s="110"/>
      <c r="J116" s="110"/>
      <c r="K116" s="110"/>
      <c r="L116" s="110"/>
      <c r="M116" s="110"/>
      <c r="N116" s="110"/>
    </row>
    <row r="117" customHeight="1" spans="1:14">
      <c r="A117" s="183"/>
      <c r="B117" s="165"/>
      <c r="C117" s="77"/>
      <c r="D117" s="76"/>
      <c r="E117" s="78"/>
      <c r="F117" s="79">
        <f t="shared" si="0"/>
        <v>9338.39999999999</v>
      </c>
      <c r="G117" s="110"/>
      <c r="H117" s="110"/>
      <c r="I117" s="110"/>
      <c r="J117" s="110"/>
      <c r="K117" s="110"/>
      <c r="L117" s="110"/>
      <c r="M117" s="110"/>
      <c r="N117" s="110"/>
    </row>
    <row r="118" customHeight="1" spans="1:14">
      <c r="A118" s="183"/>
      <c r="B118" s="165"/>
      <c r="C118" s="77"/>
      <c r="D118" s="76"/>
      <c r="E118" s="78"/>
      <c r="F118" s="79">
        <f t="shared" si="0"/>
        <v>9338.39999999999</v>
      </c>
      <c r="G118" s="158"/>
      <c r="H118" s="158"/>
      <c r="I118" s="158"/>
      <c r="J118" s="158"/>
      <c r="K118" s="158"/>
      <c r="L118" s="158"/>
      <c r="M118" s="158"/>
      <c r="N118" s="105"/>
    </row>
    <row r="119" customHeight="1" spans="1:14">
      <c r="A119" s="183"/>
      <c r="B119" s="165"/>
      <c r="C119" s="77"/>
      <c r="D119" s="76"/>
      <c r="E119" s="78"/>
      <c r="F119" s="79">
        <f t="shared" si="0"/>
        <v>9338.39999999999</v>
      </c>
      <c r="G119" s="158"/>
      <c r="H119" s="158"/>
      <c r="I119" s="158"/>
      <c r="J119" s="158"/>
      <c r="K119" s="158"/>
      <c r="L119" s="158"/>
      <c r="M119" s="158"/>
      <c r="N119" s="158"/>
    </row>
    <row r="120" customHeight="1" spans="1:14">
      <c r="A120" s="183"/>
      <c r="B120" s="165"/>
      <c r="C120" s="77"/>
      <c r="D120" s="76"/>
      <c r="E120" s="78"/>
      <c r="F120" s="79">
        <f t="shared" si="0"/>
        <v>9338.39999999999</v>
      </c>
      <c r="G120" s="158"/>
      <c r="H120" s="158"/>
      <c r="I120" s="158"/>
      <c r="J120" s="158"/>
      <c r="K120" s="158"/>
      <c r="L120" s="158"/>
      <c r="M120" s="158"/>
      <c r="N120" s="158"/>
    </row>
    <row r="121" customHeight="1" spans="1:14">
      <c r="A121" s="183"/>
      <c r="B121" s="165"/>
      <c r="C121" s="77"/>
      <c r="D121" s="76"/>
      <c r="E121" s="78"/>
      <c r="F121" s="79"/>
      <c r="G121" s="110"/>
      <c r="H121" s="110"/>
      <c r="I121" s="110"/>
      <c r="J121" s="110"/>
      <c r="K121" s="110"/>
      <c r="L121" s="110"/>
      <c r="M121" s="110"/>
      <c r="N121" s="110"/>
    </row>
    <row r="122" customHeight="1" spans="1:14">
      <c r="A122" s="183"/>
      <c r="B122" s="165"/>
      <c r="C122" s="77"/>
      <c r="D122" s="76"/>
      <c r="E122" s="78"/>
      <c r="F122" s="79"/>
      <c r="G122" s="110"/>
      <c r="H122" s="110"/>
      <c r="I122" s="110"/>
      <c r="J122" s="110"/>
      <c r="K122" s="110"/>
      <c r="L122" s="110"/>
      <c r="M122" s="110"/>
      <c r="N122" s="110"/>
    </row>
    <row r="123" customHeight="1" spans="1:14">
      <c r="A123" s="183"/>
      <c r="B123" s="165"/>
      <c r="C123" s="77"/>
      <c r="D123" s="76"/>
      <c r="E123" s="78"/>
      <c r="F123" s="79"/>
      <c r="G123" s="118"/>
      <c r="H123" s="158"/>
      <c r="I123" s="105"/>
      <c r="J123" s="158"/>
      <c r="K123" s="158"/>
      <c r="L123" s="77"/>
      <c r="M123" s="158"/>
      <c r="N123" s="158"/>
    </row>
    <row r="124" customHeight="1" spans="1:14">
      <c r="A124" s="183"/>
      <c r="B124" s="165"/>
      <c r="C124" s="77"/>
      <c r="D124" s="76"/>
      <c r="E124" s="78"/>
      <c r="F124" s="79"/>
      <c r="G124" s="158"/>
      <c r="H124" s="158"/>
      <c r="I124" s="158"/>
      <c r="J124" s="158"/>
      <c r="K124" s="158"/>
      <c r="L124" s="158"/>
      <c r="M124" s="158"/>
      <c r="N124" s="158"/>
    </row>
    <row r="125" customHeight="1" spans="1:14">
      <c r="A125" s="183"/>
      <c r="B125" s="165"/>
      <c r="C125" s="77"/>
      <c r="D125" s="76"/>
      <c r="E125" s="78"/>
      <c r="F125" s="79"/>
      <c r="G125" s="77"/>
      <c r="H125" s="77"/>
      <c r="I125" s="77"/>
      <c r="J125" s="77"/>
      <c r="K125" s="77"/>
      <c r="L125" s="110"/>
      <c r="M125" s="77"/>
      <c r="N125" s="77"/>
    </row>
    <row r="126" customHeight="1" spans="1:14">
      <c r="A126" s="183"/>
      <c r="B126" s="165"/>
      <c r="C126" s="77"/>
      <c r="D126" s="76"/>
      <c r="E126" s="78"/>
      <c r="F126" s="79"/>
      <c r="G126" s="110"/>
      <c r="H126" s="110"/>
      <c r="I126" s="110"/>
      <c r="J126" s="110"/>
      <c r="K126" s="110"/>
      <c r="L126" s="110"/>
      <c r="M126" s="110"/>
      <c r="N126" s="110"/>
    </row>
    <row r="127" customHeight="1" spans="1:14">
      <c r="A127" s="183"/>
      <c r="B127" s="165"/>
      <c r="C127" s="77"/>
      <c r="D127" s="76"/>
      <c r="E127" s="78"/>
      <c r="F127" s="79"/>
      <c r="G127" s="110"/>
      <c r="H127" s="110"/>
      <c r="I127" s="110"/>
      <c r="J127" s="110"/>
      <c r="K127" s="110"/>
      <c r="L127" s="110"/>
      <c r="M127" s="110"/>
      <c r="N127" s="110"/>
    </row>
    <row r="128" customHeight="1" spans="1:14">
      <c r="A128" s="183"/>
      <c r="B128" s="165"/>
      <c r="C128" s="77"/>
      <c r="D128" s="76"/>
      <c r="E128" s="78"/>
      <c r="F128" s="79"/>
      <c r="G128" s="110"/>
      <c r="H128" s="110"/>
      <c r="I128" s="110"/>
      <c r="J128" s="110"/>
      <c r="K128" s="110"/>
      <c r="L128" s="110"/>
      <c r="M128" s="110"/>
      <c r="N128" s="110"/>
    </row>
    <row r="129" customHeight="1" spans="1:14">
      <c r="A129" s="183"/>
      <c r="B129" s="165"/>
      <c r="C129" s="77"/>
      <c r="D129" s="76"/>
      <c r="E129" s="78"/>
      <c r="F129" s="79"/>
      <c r="G129" s="118"/>
      <c r="H129" s="158"/>
      <c r="I129" s="105"/>
      <c r="J129" s="158"/>
      <c r="K129" s="158"/>
      <c r="L129" s="77"/>
      <c r="M129" s="158"/>
      <c r="N129" s="158"/>
    </row>
    <row r="130" customHeight="1" spans="1:14">
      <c r="A130" s="183"/>
      <c r="B130" s="165"/>
      <c r="C130" s="77"/>
      <c r="D130" s="76"/>
      <c r="E130" s="78"/>
      <c r="F130" s="79"/>
      <c r="G130" s="110"/>
      <c r="H130" s="105"/>
      <c r="I130" s="105"/>
      <c r="J130" s="105"/>
      <c r="K130" s="105"/>
      <c r="L130" s="105"/>
      <c r="M130" s="105"/>
      <c r="N130" s="105"/>
    </row>
    <row r="131" customHeight="1" spans="1:14">
      <c r="A131" s="183"/>
      <c r="B131" s="165"/>
      <c r="C131" s="77"/>
      <c r="D131" s="76"/>
      <c r="E131" s="78"/>
      <c r="F131" s="79"/>
      <c r="G131" s="77"/>
      <c r="H131" s="77"/>
      <c r="I131" s="77"/>
      <c r="J131" s="77"/>
      <c r="K131" s="77"/>
      <c r="L131" s="110"/>
      <c r="M131" s="77"/>
      <c r="N131" s="77"/>
    </row>
    <row r="132" customHeight="1" spans="1:14">
      <c r="A132" s="183"/>
      <c r="B132" s="165"/>
      <c r="C132" s="77"/>
      <c r="D132" s="76"/>
      <c r="E132" s="78"/>
      <c r="F132" s="79"/>
      <c r="G132" s="124"/>
      <c r="H132" s="125"/>
      <c r="I132" s="125"/>
      <c r="J132" s="125"/>
      <c r="K132" s="125"/>
      <c r="L132" s="125"/>
      <c r="M132" s="125"/>
      <c r="N132" s="125"/>
    </row>
    <row r="133" customHeight="1" spans="1:14">
      <c r="A133" s="183"/>
      <c r="B133" s="165"/>
      <c r="C133" s="77"/>
      <c r="D133" s="76"/>
      <c r="E133" s="78"/>
      <c r="F133" s="79"/>
      <c r="G133" s="110"/>
      <c r="H133" s="110"/>
      <c r="I133" s="110"/>
      <c r="J133" s="110"/>
      <c r="K133" s="110"/>
      <c r="L133" s="110"/>
      <c r="M133" s="110"/>
      <c r="N133" s="110"/>
    </row>
    <row r="134" customHeight="1" spans="1:14">
      <c r="A134" s="183"/>
      <c r="B134" s="165"/>
      <c r="C134" s="77"/>
      <c r="D134" s="76"/>
      <c r="E134" s="78"/>
      <c r="F134" s="79"/>
      <c r="G134" s="110"/>
      <c r="H134" s="110"/>
      <c r="I134" s="110"/>
      <c r="J134" s="110"/>
      <c r="K134" s="110"/>
      <c r="L134" s="110"/>
      <c r="M134" s="110"/>
      <c r="N134" s="110"/>
    </row>
    <row r="135" customHeight="1" spans="1:14">
      <c r="A135" s="183"/>
      <c r="B135" s="165"/>
      <c r="C135" s="77"/>
      <c r="D135" s="76"/>
      <c r="E135" s="78"/>
      <c r="F135" s="79"/>
      <c r="G135" s="110"/>
      <c r="H135" s="110"/>
      <c r="I135" s="110"/>
      <c r="J135" s="110"/>
      <c r="K135" s="110"/>
      <c r="L135" s="110"/>
      <c r="M135" s="110"/>
      <c r="N135" s="110"/>
    </row>
    <row r="136" customHeight="1" spans="1:14">
      <c r="A136" s="183"/>
      <c r="B136" s="165"/>
      <c r="C136" s="77"/>
      <c r="D136" s="76"/>
      <c r="E136" s="78"/>
      <c r="F136" s="79"/>
      <c r="G136" s="110"/>
      <c r="H136" s="110"/>
      <c r="I136" s="110"/>
      <c r="J136" s="110"/>
      <c r="K136" s="110"/>
      <c r="L136" s="110"/>
      <c r="M136" s="110"/>
      <c r="N136" s="110"/>
    </row>
    <row r="137" customHeight="1" spans="1:14">
      <c r="A137" s="183"/>
      <c r="B137" s="165"/>
      <c r="C137" s="77"/>
      <c r="D137" s="76"/>
      <c r="E137" s="78"/>
      <c r="F137" s="79"/>
      <c r="G137" s="110"/>
      <c r="H137" s="110"/>
      <c r="I137" s="110"/>
      <c r="J137" s="110"/>
      <c r="K137" s="110"/>
      <c r="L137" s="110"/>
      <c r="M137" s="110"/>
      <c r="N137" s="110"/>
    </row>
    <row r="138" customHeight="1" spans="1:14">
      <c r="A138" s="183"/>
      <c r="B138" s="165"/>
      <c r="C138" s="77"/>
      <c r="D138" s="76"/>
      <c r="E138" s="78"/>
      <c r="F138" s="79"/>
      <c r="G138" s="110"/>
      <c r="H138" s="110"/>
      <c r="I138" s="110"/>
      <c r="J138" s="110"/>
      <c r="K138" s="110"/>
      <c r="L138" s="110"/>
      <c r="M138" s="110"/>
      <c r="N138" s="110"/>
    </row>
    <row r="139" customHeight="1" spans="1:14">
      <c r="A139" s="183"/>
      <c r="B139" s="165"/>
      <c r="C139" s="77"/>
      <c r="D139" s="76"/>
      <c r="E139" s="78"/>
      <c r="F139" s="79"/>
      <c r="G139" s="110"/>
      <c r="H139" s="110"/>
      <c r="I139" s="110"/>
      <c r="J139" s="110"/>
      <c r="K139" s="110"/>
      <c r="L139" s="110"/>
      <c r="M139" s="110"/>
      <c r="N139" s="110"/>
    </row>
    <row r="140" customHeight="1" spans="1:14">
      <c r="A140" s="183"/>
      <c r="B140" s="165"/>
      <c r="C140" s="77"/>
      <c r="D140" s="76"/>
      <c r="E140" s="78"/>
      <c r="F140" s="79"/>
      <c r="G140" s="77"/>
      <c r="H140" s="77"/>
      <c r="I140" s="77"/>
      <c r="J140" s="77"/>
      <c r="K140" s="77"/>
      <c r="L140" s="110"/>
      <c r="M140" s="77"/>
      <c r="N140" s="77"/>
    </row>
    <row r="141" customHeight="1" spans="1:14">
      <c r="A141" s="183"/>
      <c r="B141" s="165"/>
      <c r="C141" s="77"/>
      <c r="D141" s="76"/>
      <c r="E141" s="78"/>
      <c r="F141" s="79"/>
      <c r="G141" s="77"/>
      <c r="H141" s="77"/>
      <c r="I141" s="77"/>
      <c r="J141" s="77"/>
      <c r="K141" s="77"/>
      <c r="L141" s="110"/>
      <c r="M141" s="77"/>
      <c r="N141" s="77"/>
    </row>
    <row r="142" customHeight="1" spans="1:14">
      <c r="A142" s="183"/>
      <c r="B142" s="165"/>
      <c r="C142" s="77"/>
      <c r="D142" s="76"/>
      <c r="E142" s="78"/>
      <c r="F142" s="79"/>
      <c r="G142" s="158"/>
      <c r="H142" s="158"/>
      <c r="I142" s="158"/>
      <c r="J142" s="158"/>
      <c r="K142" s="158"/>
      <c r="L142" s="158"/>
      <c r="M142" s="158"/>
      <c r="N142" s="158"/>
    </row>
    <row r="143" customHeight="1" spans="1:14">
      <c r="A143" s="183"/>
      <c r="B143" s="165"/>
      <c r="C143" s="77"/>
      <c r="D143" s="76"/>
      <c r="E143" s="78"/>
      <c r="F143" s="79"/>
      <c r="G143" s="158"/>
      <c r="H143" s="158"/>
      <c r="I143" s="158"/>
      <c r="J143" s="158"/>
      <c r="K143" s="158"/>
      <c r="L143" s="158"/>
      <c r="M143" s="158"/>
      <c r="N143" s="158"/>
    </row>
    <row r="144" customHeight="1" spans="1:14">
      <c r="A144" s="183"/>
      <c r="B144" s="165"/>
      <c r="C144" s="77"/>
      <c r="D144" s="76"/>
      <c r="E144" s="78"/>
      <c r="F144" s="79"/>
      <c r="G144" s="158"/>
      <c r="H144" s="158"/>
      <c r="I144" s="158"/>
      <c r="J144" s="158"/>
      <c r="K144" s="158"/>
      <c r="L144" s="158"/>
      <c r="M144" s="158"/>
      <c r="N144" s="158"/>
    </row>
    <row r="145" customHeight="1" spans="1:14">
      <c r="A145" s="183"/>
      <c r="B145" s="165"/>
      <c r="C145" s="77"/>
      <c r="D145" s="76"/>
      <c r="E145" s="78"/>
      <c r="F145" s="77"/>
      <c r="G145" s="110"/>
      <c r="H145" s="110"/>
      <c r="I145" s="110"/>
      <c r="J145" s="110"/>
      <c r="K145" s="110"/>
      <c r="L145" s="110"/>
      <c r="M145" s="110"/>
      <c r="N145" s="110"/>
    </row>
    <row r="146" customHeight="1" spans="1:14">
      <c r="A146" s="183"/>
      <c r="B146" s="165"/>
      <c r="C146" s="77"/>
      <c r="D146" s="76"/>
      <c r="E146" s="78"/>
      <c r="F146" s="77"/>
      <c r="G146" s="110"/>
      <c r="H146" s="110"/>
      <c r="I146" s="110"/>
      <c r="J146" s="110"/>
      <c r="K146" s="110"/>
      <c r="L146" s="110"/>
      <c r="M146" s="110"/>
      <c r="N146" s="110"/>
    </row>
    <row r="147" customHeight="1" spans="1:14">
      <c r="A147" s="183"/>
      <c r="B147" s="165"/>
      <c r="C147" s="77"/>
      <c r="D147" s="76"/>
      <c r="E147" s="78"/>
      <c r="F147" s="77"/>
      <c r="G147" s="110"/>
      <c r="H147" s="110"/>
      <c r="I147" s="110"/>
      <c r="J147" s="110"/>
      <c r="K147" s="110"/>
      <c r="L147" s="110"/>
      <c r="M147" s="110"/>
      <c r="N147" s="110"/>
    </row>
    <row r="148" customHeight="1" spans="1:14">
      <c r="A148" s="183"/>
      <c r="B148" s="165"/>
      <c r="C148" s="77"/>
      <c r="D148" s="76"/>
      <c r="E148" s="78"/>
      <c r="F148" s="77"/>
      <c r="G148" s="110"/>
      <c r="H148" s="110"/>
      <c r="I148" s="110"/>
      <c r="J148" s="110"/>
      <c r="K148" s="110"/>
      <c r="L148" s="110"/>
      <c r="M148" s="110"/>
      <c r="N148" s="110"/>
    </row>
    <row r="149" customHeight="1" spans="1:14">
      <c r="A149" s="183"/>
      <c r="B149" s="165"/>
      <c r="C149" s="77"/>
      <c r="D149" s="76"/>
      <c r="E149" s="78"/>
      <c r="F149" s="77"/>
      <c r="G149" s="110"/>
      <c r="H149" s="110"/>
      <c r="I149" s="110"/>
      <c r="J149" s="110"/>
      <c r="K149" s="110"/>
      <c r="L149" s="110"/>
      <c r="M149" s="110"/>
      <c r="N149" s="110"/>
    </row>
    <row r="150" customHeight="1" spans="1:14">
      <c r="A150" s="183"/>
      <c r="B150" s="165"/>
      <c r="C150" s="77"/>
      <c r="D150" s="76"/>
      <c r="E150" s="78"/>
      <c r="F150" s="77"/>
      <c r="G150" s="77"/>
      <c r="H150" s="77"/>
      <c r="I150" s="77"/>
      <c r="J150" s="77"/>
      <c r="K150" s="77"/>
      <c r="L150" s="110"/>
      <c r="M150" s="77"/>
      <c r="N150" s="77"/>
    </row>
    <row r="151" customHeight="1" spans="1:14">
      <c r="A151" s="183"/>
      <c r="B151" s="165"/>
      <c r="C151" s="77"/>
      <c r="D151" s="76"/>
      <c r="E151" s="78"/>
      <c r="F151" s="77"/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83"/>
      <c r="B152" s="165"/>
      <c r="C152" s="77"/>
      <c r="D152" s="76"/>
      <c r="E152" s="78"/>
      <c r="F152" s="77"/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83"/>
      <c r="B153" s="165"/>
      <c r="C153" s="77"/>
      <c r="D153" s="76"/>
      <c r="E153" s="78"/>
      <c r="F153" s="77"/>
      <c r="G153" s="110"/>
      <c r="H153" s="110"/>
      <c r="I153" s="110"/>
      <c r="J153" s="110"/>
      <c r="K153" s="110"/>
      <c r="L153" s="110"/>
      <c r="M153" s="110"/>
      <c r="N153" s="110"/>
    </row>
    <row r="154" customHeight="1" spans="1:14">
      <c r="A154" s="183"/>
      <c r="B154" s="165"/>
      <c r="C154" s="77"/>
      <c r="D154" s="76"/>
      <c r="E154" s="78"/>
      <c r="F154" s="77"/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83"/>
      <c r="B155" s="165"/>
      <c r="C155" s="77"/>
      <c r="D155" s="76"/>
      <c r="E155" s="78"/>
      <c r="F155" s="77"/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83"/>
      <c r="B156" s="165"/>
      <c r="C156" s="77"/>
      <c r="D156" s="76"/>
      <c r="E156" s="78"/>
      <c r="F156" s="77"/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83"/>
      <c r="B157" s="165"/>
      <c r="C157" s="77"/>
      <c r="D157" s="76"/>
      <c r="E157" s="78"/>
      <c r="F157" s="77"/>
      <c r="G157" s="110"/>
      <c r="H157" s="110"/>
      <c r="I157" s="110"/>
      <c r="J157" s="110"/>
      <c r="K157" s="110"/>
      <c r="L157" s="110"/>
      <c r="M157" s="110"/>
      <c r="N157" s="110"/>
    </row>
    <row r="158" customHeight="1" spans="1:14">
      <c r="A158" s="183"/>
      <c r="B158" s="165"/>
      <c r="C158" s="77"/>
      <c r="D158" s="76"/>
      <c r="E158" s="78"/>
      <c r="F158" s="77"/>
      <c r="G158" s="110"/>
      <c r="H158" s="110"/>
      <c r="I158" s="110"/>
      <c r="J158" s="110"/>
      <c r="K158" s="110"/>
      <c r="L158" s="110"/>
      <c r="M158" s="110"/>
      <c r="N158" s="110"/>
    </row>
    <row r="159" customHeight="1" spans="1:14">
      <c r="A159" s="183"/>
      <c r="B159" s="165"/>
      <c r="C159" s="77"/>
      <c r="D159" s="76"/>
      <c r="E159" s="78"/>
      <c r="F159" s="77"/>
      <c r="G159" s="110"/>
      <c r="H159" s="110"/>
      <c r="I159" s="110"/>
      <c r="J159" s="110"/>
      <c r="K159" s="110"/>
      <c r="L159" s="110"/>
      <c r="M159" s="110"/>
      <c r="N159" s="110"/>
    </row>
    <row r="160" customHeight="1" spans="1:14">
      <c r="A160" s="183"/>
      <c r="B160" s="165"/>
      <c r="C160" s="77"/>
      <c r="D160" s="76"/>
      <c r="E160" s="78"/>
      <c r="F160" s="77"/>
      <c r="G160" s="110"/>
      <c r="H160" s="110"/>
      <c r="I160" s="110"/>
      <c r="J160" s="110"/>
      <c r="K160" s="110"/>
      <c r="L160" s="110"/>
      <c r="M160" s="110"/>
      <c r="N160" s="110"/>
    </row>
    <row r="161" customHeight="1" spans="1:14">
      <c r="A161" s="183"/>
      <c r="B161" s="165"/>
      <c r="C161" s="77"/>
      <c r="D161" s="76"/>
      <c r="E161" s="78"/>
      <c r="F161" s="77"/>
      <c r="G161" s="110"/>
      <c r="H161" s="110"/>
      <c r="I161" s="110"/>
      <c r="J161" s="110"/>
      <c r="K161" s="110"/>
      <c r="L161" s="110"/>
      <c r="M161" s="110"/>
      <c r="N161" s="110"/>
    </row>
    <row r="162" customHeight="1" spans="1:14">
      <c r="A162" s="183"/>
      <c r="B162" s="165"/>
      <c r="C162" s="77"/>
      <c r="D162" s="76"/>
      <c r="E162" s="78"/>
      <c r="F162" s="77"/>
      <c r="G162" s="110"/>
      <c r="H162" s="110"/>
      <c r="I162" s="110"/>
      <c r="J162" s="110"/>
      <c r="K162" s="110"/>
      <c r="L162" s="110"/>
      <c r="M162" s="110"/>
      <c r="N162" s="110"/>
    </row>
    <row r="163" customHeight="1" spans="1:14">
      <c r="A163" s="183"/>
      <c r="B163" s="165"/>
      <c r="C163" s="77"/>
      <c r="D163" s="76"/>
      <c r="E163" s="78"/>
      <c r="F163" s="77"/>
      <c r="G163" s="110"/>
      <c r="H163" s="110"/>
      <c r="I163" s="110"/>
      <c r="J163" s="110"/>
      <c r="K163" s="110"/>
      <c r="L163" s="110"/>
      <c r="M163" s="110"/>
      <c r="N163" s="110"/>
    </row>
    <row r="164" customHeight="1" spans="1:14">
      <c r="A164" s="183"/>
      <c r="B164" s="165"/>
      <c r="C164" s="77"/>
      <c r="D164" s="76"/>
      <c r="E164" s="78"/>
      <c r="F164" s="77"/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83"/>
      <c r="B165" s="165"/>
      <c r="C165" s="77"/>
      <c r="D165" s="76"/>
      <c r="E165" s="78"/>
      <c r="F165" s="77"/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83"/>
      <c r="B166" s="165"/>
      <c r="C166" s="77"/>
      <c r="D166" s="76"/>
      <c r="E166" s="78"/>
      <c r="F166" s="77"/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4">
      <c r="A167" s="183"/>
      <c r="B167" s="165"/>
      <c r="C167" s="77"/>
      <c r="D167" s="76"/>
      <c r="E167" s="78"/>
      <c r="F167" s="77"/>
      <c r="G167" s="110"/>
      <c r="H167" s="110"/>
      <c r="I167" s="110"/>
      <c r="J167" s="110"/>
      <c r="K167" s="110"/>
      <c r="L167" s="110"/>
      <c r="M167" s="110"/>
      <c r="N167" s="110"/>
    </row>
    <row r="168" customHeight="1" spans="1:14">
      <c r="A168" s="183"/>
      <c r="B168" s="165"/>
      <c r="C168" s="77"/>
      <c r="D168" s="76"/>
      <c r="E168" s="78"/>
      <c r="F168" s="77"/>
      <c r="G168" s="110"/>
      <c r="H168" s="110"/>
      <c r="I168" s="110"/>
      <c r="J168" s="110"/>
      <c r="K168" s="110"/>
      <c r="L168" s="110"/>
      <c r="M168" s="110"/>
      <c r="N168" s="110"/>
    </row>
    <row r="169" customHeight="1" spans="1:14">
      <c r="A169" s="183"/>
      <c r="B169" s="165"/>
      <c r="C169" s="77"/>
      <c r="D169" s="76"/>
      <c r="E169" s="78"/>
      <c r="F169" s="77"/>
      <c r="G169" s="110"/>
      <c r="H169" s="110"/>
      <c r="I169" s="110"/>
      <c r="J169" s="110"/>
      <c r="K169" s="110"/>
      <c r="L169" s="110"/>
      <c r="M169" s="110"/>
      <c r="N169" s="110"/>
    </row>
    <row r="170" customHeight="1" spans="1:14">
      <c r="A170" s="183"/>
      <c r="B170" s="165"/>
      <c r="C170" s="77"/>
      <c r="D170" s="76"/>
      <c r="E170" s="78"/>
      <c r="F170" s="77"/>
      <c r="G170" s="110"/>
      <c r="H170" s="110"/>
      <c r="I170" s="110"/>
      <c r="J170" s="110"/>
      <c r="K170" s="110"/>
      <c r="L170" s="110"/>
      <c r="M170" s="110"/>
      <c r="N170" s="110"/>
    </row>
    <row r="171" customHeight="1" spans="1:14">
      <c r="A171" s="183"/>
      <c r="B171" s="165"/>
      <c r="C171" s="77"/>
      <c r="D171" s="76"/>
      <c r="E171" s="78"/>
      <c r="F171" s="77"/>
      <c r="G171" s="110"/>
      <c r="H171" s="110"/>
      <c r="I171" s="110"/>
      <c r="J171" s="110"/>
      <c r="K171" s="110"/>
      <c r="L171" s="110"/>
      <c r="M171" s="110"/>
      <c r="N171" s="110"/>
    </row>
    <row r="172" customHeight="1" spans="1:14">
      <c r="A172" s="183"/>
      <c r="B172" s="165"/>
      <c r="C172" s="77"/>
      <c r="D172" s="76"/>
      <c r="E172" s="78"/>
      <c r="F172" s="77"/>
      <c r="G172" s="110"/>
      <c r="H172" s="110"/>
      <c r="I172" s="110"/>
      <c r="J172" s="110"/>
      <c r="K172" s="110"/>
      <c r="L172" s="110"/>
      <c r="M172" s="110"/>
      <c r="N172" s="110"/>
    </row>
    <row r="173" customHeight="1" spans="1:14">
      <c r="A173" s="183"/>
      <c r="B173" s="165"/>
      <c r="C173" s="77"/>
      <c r="D173" s="76"/>
      <c r="E173" s="78"/>
      <c r="F173" s="77"/>
      <c r="G173" s="110"/>
      <c r="H173" s="110"/>
      <c r="I173" s="110"/>
      <c r="J173" s="110"/>
      <c r="K173" s="110"/>
      <c r="L173" s="110"/>
      <c r="M173" s="110"/>
      <c r="N173" s="110"/>
    </row>
    <row r="174" customHeight="1" spans="1:14">
      <c r="A174" s="183"/>
      <c r="B174" s="165"/>
      <c r="C174" s="77"/>
      <c r="D174" s="76"/>
      <c r="E174" s="78"/>
      <c r="F174" s="77"/>
      <c r="G174" s="110"/>
      <c r="H174" s="110"/>
      <c r="I174" s="110"/>
      <c r="J174" s="110"/>
      <c r="K174" s="110"/>
      <c r="L174" s="110"/>
      <c r="M174" s="110"/>
      <c r="N174" s="110"/>
    </row>
    <row r="175" customHeight="1" spans="1:14">
      <c r="A175" s="183"/>
      <c r="B175" s="165"/>
      <c r="C175" s="77"/>
      <c r="D175" s="76"/>
      <c r="E175" s="78"/>
      <c r="F175" s="77"/>
      <c r="G175" s="110"/>
      <c r="H175" s="110"/>
      <c r="I175" s="110"/>
      <c r="J175" s="110"/>
      <c r="K175" s="110"/>
      <c r="L175" s="110"/>
      <c r="M175" s="110"/>
      <c r="N175" s="110"/>
    </row>
    <row r="176" customHeight="1" spans="1:14">
      <c r="A176" s="183"/>
      <c r="B176" s="165"/>
      <c r="C176" s="77"/>
      <c r="D176" s="76"/>
      <c r="E176" s="78"/>
      <c r="F176" s="77"/>
      <c r="G176" s="110"/>
      <c r="H176" s="110"/>
      <c r="I176" s="110"/>
      <c r="J176" s="110"/>
      <c r="K176" s="110"/>
      <c r="L176" s="110"/>
      <c r="M176" s="110"/>
      <c r="N176" s="110"/>
    </row>
    <row r="177" customHeight="1" spans="1:14">
      <c r="A177" s="183"/>
      <c r="B177" s="165"/>
      <c r="C177" s="77"/>
      <c r="D177" s="76"/>
      <c r="E177" s="78"/>
      <c r="F177" s="77"/>
      <c r="G177" s="110"/>
      <c r="H177" s="110"/>
      <c r="I177" s="110"/>
      <c r="J177" s="110"/>
      <c r="K177" s="110"/>
      <c r="L177" s="110"/>
      <c r="M177" s="110"/>
      <c r="N177" s="110"/>
    </row>
    <row r="178" customHeight="1" spans="1:14">
      <c r="A178" s="183"/>
      <c r="B178" s="165"/>
      <c r="C178" s="77"/>
      <c r="D178" s="76"/>
      <c r="E178" s="78"/>
      <c r="F178" s="77"/>
      <c r="G178" s="110"/>
      <c r="H178" s="110"/>
      <c r="I178" s="110"/>
      <c r="J178" s="110"/>
      <c r="K178" s="110"/>
      <c r="L178" s="110"/>
      <c r="M178" s="110"/>
      <c r="N178" s="110"/>
    </row>
    <row r="179" customHeight="1" spans="1:14">
      <c r="A179" s="183"/>
      <c r="B179" s="165"/>
      <c r="C179" s="77"/>
      <c r="D179" s="76"/>
      <c r="E179" s="78"/>
      <c r="F179" s="77"/>
      <c r="G179" s="110"/>
      <c r="H179" s="110"/>
      <c r="I179" s="110"/>
      <c r="J179" s="110"/>
      <c r="K179" s="110"/>
      <c r="L179" s="110"/>
      <c r="M179" s="110"/>
      <c r="N179" s="110"/>
    </row>
    <row r="180" customHeight="1" spans="1:14">
      <c r="A180" s="183"/>
      <c r="B180" s="165"/>
      <c r="C180" s="77"/>
      <c r="D180" s="76"/>
      <c r="E180" s="78"/>
      <c r="F180" s="77"/>
      <c r="G180" s="110"/>
      <c r="H180" s="110"/>
      <c r="I180" s="110"/>
      <c r="J180" s="110"/>
      <c r="K180" s="110"/>
      <c r="L180" s="110"/>
      <c r="M180" s="110"/>
      <c r="N180" s="110"/>
    </row>
    <row r="181" customHeight="1" spans="1:14">
      <c r="A181" s="183"/>
      <c r="B181" s="165"/>
      <c r="C181" s="77"/>
      <c r="D181" s="76"/>
      <c r="E181" s="78"/>
      <c r="F181" s="77"/>
      <c r="G181" s="110"/>
      <c r="H181" s="110"/>
      <c r="I181" s="110"/>
      <c r="J181" s="110"/>
      <c r="K181" s="110"/>
      <c r="L181" s="110"/>
      <c r="M181" s="110"/>
      <c r="N181" s="110"/>
    </row>
    <row r="182" customHeight="1" spans="1:14">
      <c r="A182" s="183"/>
      <c r="B182" s="165"/>
      <c r="C182" s="77"/>
      <c r="D182" s="76"/>
      <c r="E182" s="78"/>
      <c r="F182" s="77"/>
      <c r="G182" s="110"/>
      <c r="H182" s="110"/>
      <c r="I182" s="110"/>
      <c r="J182" s="110"/>
      <c r="K182" s="110"/>
      <c r="L182" s="110"/>
      <c r="M182" s="110"/>
      <c r="N182" s="110"/>
    </row>
    <row r="183" customHeight="1" spans="1:14">
      <c r="A183" s="183"/>
      <c r="B183" s="165"/>
      <c r="C183" s="77"/>
      <c r="D183" s="76"/>
      <c r="E183" s="78"/>
      <c r="F183" s="77"/>
      <c r="G183" s="110"/>
      <c r="H183" s="110"/>
      <c r="I183" s="110"/>
      <c r="J183" s="110"/>
      <c r="K183" s="110"/>
      <c r="L183" s="110"/>
      <c r="M183" s="110"/>
      <c r="N183" s="110"/>
    </row>
    <row r="184" customHeight="1" spans="1:2">
      <c r="A184" s="47"/>
      <c r="B184" s="48"/>
    </row>
    <row r="185" customHeight="1" spans="1:2">
      <c r="A185" s="47"/>
      <c r="B185" s="48"/>
    </row>
    <row r="186" customHeight="1" spans="1:2">
      <c r="A186" s="47"/>
      <c r="B186" s="48"/>
    </row>
    <row r="187" customHeight="1" spans="1:10">
      <c r="A187" s="47"/>
      <c r="B187" s="48"/>
      <c r="D187" s="126" t="s">
        <v>294</v>
      </c>
      <c r="E187" s="126" t="s">
        <v>295</v>
      </c>
      <c r="F187" s="126" t="s">
        <v>15</v>
      </c>
      <c r="I187" s="67" t="s">
        <v>24</v>
      </c>
      <c r="J187" s="67">
        <v>15000</v>
      </c>
    </row>
    <row r="188" customHeight="1" spans="1:10">
      <c r="A188" s="47"/>
      <c r="B188" s="48"/>
      <c r="D188" s="70">
        <f t="shared" ref="D188:E188" si="1">SUM(D3:D183)</f>
        <v>61343.78</v>
      </c>
      <c r="E188" s="70">
        <f t="shared" si="1"/>
        <v>52005.38</v>
      </c>
      <c r="F188" s="70">
        <f>D188-E188</f>
        <v>9338.39999999999</v>
      </c>
      <c r="I188" s="67" t="s">
        <v>230</v>
      </c>
      <c r="J188" s="67">
        <v>4000</v>
      </c>
    </row>
    <row r="189" customHeight="1" spans="1:5">
      <c r="A189" s="47"/>
      <c r="B189" s="48"/>
      <c r="D189" s="189" t="s">
        <v>417</v>
      </c>
      <c r="E189" s="172">
        <f t="shared" ref="E189:E190" si="2">E188-J187</f>
        <v>37005.38</v>
      </c>
    </row>
    <row r="190" customHeight="1" spans="1:5">
      <c r="A190" s="47"/>
      <c r="B190" s="48"/>
      <c r="D190" s="189" t="s">
        <v>497</v>
      </c>
      <c r="E190" s="172">
        <f t="shared" si="2"/>
        <v>33005.38</v>
      </c>
    </row>
    <row r="191" customHeight="1" spans="1:2">
      <c r="A191" s="47"/>
      <c r="B191" s="48"/>
    </row>
    <row r="192" customHeight="1" spans="1:2">
      <c r="A192" s="47"/>
      <c r="B192" s="48"/>
    </row>
    <row r="193" customHeight="1" spans="1:2">
      <c r="A193" s="47"/>
      <c r="B193" s="48"/>
    </row>
    <row r="194" customHeight="1" spans="1:6">
      <c r="A194" s="47"/>
      <c r="B194" s="48"/>
      <c r="D194" s="55" t="s">
        <v>27</v>
      </c>
      <c r="E194" s="53">
        <f ca="1">SUMIF(C$3:E$183,"Grocery",E$3:E$183)</f>
        <v>9423.4</v>
      </c>
      <c r="F194" s="56">
        <f ca="1">SUM(E194:E196)</f>
        <v>14670.96</v>
      </c>
    </row>
    <row r="195" customHeight="1" spans="1:6">
      <c r="A195" s="47"/>
      <c r="B195" s="48"/>
      <c r="D195" s="55" t="s">
        <v>224</v>
      </c>
      <c r="E195" s="53">
        <f ca="1">SUMIF(C$3:E$192,"Snacks",E$3:E$192)</f>
        <v>1449.56</v>
      </c>
      <c r="F195" s="57"/>
    </row>
    <row r="196" customHeight="1" spans="1:6">
      <c r="A196" s="47"/>
      <c r="B196" s="48"/>
      <c r="D196" s="55" t="s">
        <v>299</v>
      </c>
      <c r="E196" s="53">
        <f ca="1">SUMIF(C$3:E$192,"Food",E$3:E$192)</f>
        <v>3798</v>
      </c>
      <c r="F196" s="58"/>
    </row>
    <row r="197" customHeight="1" spans="1:5">
      <c r="A197" s="47"/>
      <c r="B197" s="48"/>
      <c r="D197" s="55" t="s">
        <v>245</v>
      </c>
      <c r="E197" s="53">
        <f ca="1">SUMIF(C$3:E$192,"Health",E$3:E$192)</f>
        <v>3784.98</v>
      </c>
    </row>
    <row r="198" customHeight="1" spans="1:7">
      <c r="A198" s="47"/>
      <c r="B198" s="48"/>
      <c r="D198" s="55" t="s">
        <v>54</v>
      </c>
      <c r="E198" s="53">
        <f ca="1">SUMIF(C$3:E$192,"Dress",E$3:E$192)</f>
        <v>0</v>
      </c>
      <c r="F198" s="59"/>
      <c r="G198" s="60"/>
    </row>
    <row r="199" customHeight="1" spans="1:5">
      <c r="A199" s="47"/>
      <c r="B199" s="48"/>
      <c r="D199" s="55" t="s">
        <v>214</v>
      </c>
      <c r="E199" s="53">
        <f ca="1">SUMIF(C$3:E$192,"Home",E$3:E$192)</f>
        <v>15459</v>
      </c>
    </row>
    <row r="200" customHeight="1" spans="1:7">
      <c r="A200" s="47"/>
      <c r="B200" s="48"/>
      <c r="D200" s="55" t="s">
        <v>281</v>
      </c>
      <c r="E200" s="53">
        <f ca="1">SUMIF(C$3:E$192,"Tickets",E$3:E$192)</f>
        <v>2288.1</v>
      </c>
      <c r="F200" s="61">
        <f ca="1">SUM(E200:E202)</f>
        <v>7634.8</v>
      </c>
      <c r="G200" s="62"/>
    </row>
    <row r="201" customHeight="1" spans="1:8">
      <c r="A201" s="47"/>
      <c r="B201" s="48"/>
      <c r="D201" s="55" t="s">
        <v>210</v>
      </c>
      <c r="E201" s="53">
        <f ca="1">SUMIF(C$3:E$192,"Transport",E$3:E$192)</f>
        <v>4274.7</v>
      </c>
      <c r="F201" s="66"/>
      <c r="H201" s="67" t="s">
        <v>300</v>
      </c>
    </row>
    <row r="202" customHeight="1" spans="1:8">
      <c r="A202" s="47"/>
      <c r="B202" s="48"/>
      <c r="D202" s="55" t="s">
        <v>201</v>
      </c>
      <c r="E202" s="53">
        <f ca="1">SUMIF(C$3:E$192,"Fuel",E$3:E$192)</f>
        <v>1072</v>
      </c>
      <c r="F202" s="68"/>
      <c r="H202" s="53">
        <f ca="1">E188-E204</f>
        <v>25.9000000000087</v>
      </c>
    </row>
    <row r="203" customHeight="1" spans="1:5">
      <c r="A203" s="47"/>
      <c r="B203" s="48"/>
      <c r="D203" s="55" t="s">
        <v>219</v>
      </c>
      <c r="E203" s="53">
        <f ca="1">SUMIF(C$3:E$192,"Others",E$3:E$192)</f>
        <v>10429.74</v>
      </c>
    </row>
    <row r="204" customHeight="1" spans="1:5">
      <c r="A204" s="47"/>
      <c r="B204" s="48"/>
      <c r="D204" s="69" t="s">
        <v>7</v>
      </c>
      <c r="E204" s="70">
        <f ca="1">SUM(E194:E203)</f>
        <v>51979.48</v>
      </c>
    </row>
    <row r="205" customHeight="1" spans="1:2">
      <c r="A205" s="47"/>
      <c r="B205" s="48"/>
    </row>
    <row r="206" customHeight="1" spans="1:2">
      <c r="A206" s="47"/>
      <c r="B206" s="48"/>
    </row>
    <row r="207" customHeight="1" spans="1:2">
      <c r="A207" s="47"/>
      <c r="B207" s="48"/>
    </row>
    <row r="208" customHeight="1" spans="1:2">
      <c r="A208" s="47"/>
      <c r="B208" s="48"/>
    </row>
    <row r="209" customHeight="1" spans="1:2">
      <c r="A209" s="47"/>
      <c r="B209" s="48"/>
    </row>
    <row r="210" customHeight="1" spans="1:2">
      <c r="A210" s="47"/>
      <c r="B210" s="48"/>
    </row>
    <row r="211" customHeight="1" spans="1:2">
      <c r="A211" s="47"/>
      <c r="B211" s="48"/>
    </row>
    <row r="212" customHeight="1" spans="1:2">
      <c r="A212" s="47"/>
      <c r="B212" s="48"/>
    </row>
    <row r="213" customHeight="1" spans="1:2">
      <c r="A213" s="47"/>
      <c r="B213" s="48"/>
    </row>
    <row r="214" customHeight="1" spans="1:2">
      <c r="A214" s="47"/>
      <c r="B214" s="48"/>
    </row>
    <row r="215" customHeight="1" spans="1:2">
      <c r="A215" s="47"/>
      <c r="B215" s="48"/>
    </row>
    <row r="216" customHeight="1" spans="1:2">
      <c r="A216" s="47"/>
      <c r="B216" s="48"/>
    </row>
    <row r="217" customHeight="1" spans="1:2">
      <c r="A217" s="47"/>
      <c r="B217" s="48"/>
    </row>
    <row r="218" customHeight="1" spans="1:2">
      <c r="A218" s="47"/>
      <c r="B218" s="48"/>
    </row>
    <row r="219" customHeight="1" spans="1:2">
      <c r="A219" s="47"/>
      <c r="B219" s="48"/>
    </row>
    <row r="220" customHeight="1" spans="1:2">
      <c r="A220" s="47"/>
      <c r="B220" s="48"/>
    </row>
    <row r="221" customHeight="1" spans="1:2">
      <c r="A221" s="47"/>
      <c r="B221" s="48"/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2">
      <c r="A224" s="47"/>
      <c r="B224" s="48"/>
    </row>
    <row r="225" customHeight="1" spans="1:2">
      <c r="A225" s="47"/>
      <c r="B225" s="48"/>
    </row>
    <row r="226" customHeight="1" spans="1:2">
      <c r="A226" s="47"/>
      <c r="B226" s="48"/>
    </row>
    <row r="227" customHeight="1" spans="1:2">
      <c r="A227" s="47"/>
      <c r="B227" s="48"/>
    </row>
    <row r="228" customHeight="1" spans="1:2">
      <c r="A228" s="47"/>
      <c r="B228" s="48"/>
    </row>
    <row r="229" customHeight="1" spans="1:2">
      <c r="A229" s="47"/>
      <c r="B229" s="48"/>
    </row>
    <row r="230" customHeight="1" spans="1:2">
      <c r="A230" s="47"/>
      <c r="B230" s="48"/>
    </row>
    <row r="231" customHeight="1" spans="1:2">
      <c r="A231" s="47"/>
      <c r="B231" s="48"/>
    </row>
    <row r="232" customHeight="1" spans="1:2">
      <c r="A232" s="47"/>
      <c r="B232" s="48"/>
    </row>
    <row r="233" customHeight="1" spans="1:2">
      <c r="A233" s="47"/>
      <c r="B233" s="48"/>
    </row>
    <row r="234" customHeight="1" spans="1:2">
      <c r="A234" s="47"/>
      <c r="B234" s="48"/>
    </row>
    <row r="235" customHeight="1" spans="1:2">
      <c r="A235" s="47"/>
      <c r="B235" s="48"/>
    </row>
    <row r="236" customHeight="1" spans="1:2">
      <c r="A236" s="47"/>
      <c r="B236" s="48"/>
    </row>
    <row r="237" customHeight="1" spans="1:2">
      <c r="A237" s="47"/>
      <c r="B237" s="48"/>
    </row>
    <row r="238" customHeight="1" spans="1:2">
      <c r="A238" s="47"/>
      <c r="B238" s="48"/>
    </row>
    <row r="239" customHeight="1" spans="1:2">
      <c r="A239" s="47"/>
      <c r="B239" s="48"/>
    </row>
    <row r="240" customHeight="1" spans="1:2">
      <c r="A240" s="47"/>
      <c r="B240" s="48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1">
      <c r="A971" s="47"/>
    </row>
    <row r="972" customHeight="1" spans="1:1">
      <c r="A972" s="47"/>
    </row>
    <row r="973" customHeight="1" spans="1:1">
      <c r="A973" s="47"/>
    </row>
    <row r="974" customHeight="1" spans="1:1">
      <c r="A974" s="47"/>
    </row>
    <row r="975" customHeight="1" spans="1:1">
      <c r="A975" s="47"/>
    </row>
    <row r="976" customHeight="1" spans="1:1">
      <c r="A976" s="47"/>
    </row>
    <row r="977" customHeight="1" spans="1:1">
      <c r="A977" s="47"/>
    </row>
    <row r="978" customHeight="1" spans="1:1">
      <c r="A978" s="47"/>
    </row>
    <row r="979" customHeight="1" spans="1:1">
      <c r="A979" s="47"/>
    </row>
    <row r="980" customHeight="1" spans="1:1">
      <c r="A980" s="47"/>
    </row>
    <row r="981" customHeight="1" spans="1:1">
      <c r="A981" s="47"/>
    </row>
    <row r="982" customHeight="1" spans="1:1">
      <c r="A982" s="47"/>
    </row>
    <row r="983" customHeight="1" spans="1:1">
      <c r="A983" s="47"/>
    </row>
    <row r="984" customHeight="1" spans="1:1">
      <c r="A984" s="47"/>
    </row>
    <row r="985" customHeight="1" spans="1:1">
      <c r="A985" s="47"/>
    </row>
    <row r="986" customHeight="1" spans="1:1">
      <c r="A986" s="47"/>
    </row>
    <row r="987" customHeight="1" spans="1:1">
      <c r="A987" s="47"/>
    </row>
    <row r="988" customHeight="1" spans="1:1">
      <c r="A988" s="47"/>
    </row>
    <row r="989" customHeight="1" spans="1:1">
      <c r="A989" s="47"/>
    </row>
    <row r="990" customHeight="1" spans="1:1">
      <c r="A990" s="47"/>
    </row>
    <row r="991" customHeight="1" spans="1:1">
      <c r="A991" s="47"/>
    </row>
    <row r="992" customHeight="1" spans="1:1">
      <c r="A992" s="47"/>
    </row>
    <row r="993" customHeight="1" spans="1:1">
      <c r="A993" s="47"/>
    </row>
    <row r="994" customHeight="1" spans="1:1">
      <c r="A994" s="47"/>
    </row>
    <row r="995" customHeight="1" spans="1:1">
      <c r="A995" s="47"/>
    </row>
    <row r="996" customHeight="1" spans="1:1">
      <c r="A996" s="47"/>
    </row>
    <row r="997" customHeight="1" spans="1:1">
      <c r="A997" s="47"/>
    </row>
    <row r="998" customHeight="1" spans="1:1">
      <c r="A998" s="47"/>
    </row>
    <row r="999" customHeight="1" spans="1:1">
      <c r="A999" s="47"/>
    </row>
    <row r="1000" customHeight="1" spans="1:1">
      <c r="A1000" s="47"/>
    </row>
    <row r="1001" customHeight="1" spans="1:1">
      <c r="A1001" s="47"/>
    </row>
    <row r="1002" customHeight="1" spans="1:1">
      <c r="A1002" s="47"/>
    </row>
    <row r="1003" customHeight="1" spans="1:1">
      <c r="A1003" s="47"/>
    </row>
    <row r="1004" customHeight="1" spans="1:1">
      <c r="A1004" s="47"/>
    </row>
    <row r="1005" customHeight="1" spans="1:1">
      <c r="A1005" s="47"/>
    </row>
    <row r="1006" customHeight="1" spans="1:1">
      <c r="A1006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194:F196"/>
    <mergeCell ref="F200:F202"/>
    <mergeCell ref="G1:G2"/>
    <mergeCell ref="H1:H2"/>
    <mergeCell ref="I1:I2"/>
    <mergeCell ref="J1:J2"/>
    <mergeCell ref="K1:K2"/>
    <mergeCell ref="L1:L2"/>
  </mergeCells>
  <conditionalFormatting sqref="G103:G104 G114 G132">
    <cfRule type="expression" dxfId="0" priority="1">
      <formula>"F56"</formula>
    </cfRule>
  </conditionalFormatting>
  <dataValidations count="1">
    <dataValidation type="list" allowBlank="1" showErrorMessage="1" sqref="C3:C183">
      <formula1>"Grocery,Health,Others,Home,Dress,Food,Snacks,Tickets,Transport,Fuel"</formula1>
    </dataValidation>
  </dataValidation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12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46" t="s">
        <v>194</v>
      </c>
      <c r="N2" s="146" t="s">
        <v>207</v>
      </c>
    </row>
    <row r="3" customHeight="1" spans="1:14">
      <c r="A3" s="73" t="s">
        <v>677</v>
      </c>
      <c r="B3" s="74" t="s">
        <v>678</v>
      </c>
      <c r="C3" s="75"/>
      <c r="D3" s="76">
        <f>9338.4</f>
        <v>9338.4</v>
      </c>
      <c r="E3" s="78"/>
      <c r="F3" s="79">
        <f>D3-E3</f>
        <v>9338.4</v>
      </c>
      <c r="G3" s="110"/>
      <c r="H3" s="105"/>
      <c r="I3" s="105"/>
      <c r="J3" s="105"/>
      <c r="K3" s="105"/>
      <c r="L3" s="105"/>
      <c r="M3" s="105"/>
      <c r="N3" s="105"/>
    </row>
    <row r="4" customHeight="1" spans="1:14">
      <c r="A4" s="117"/>
      <c r="B4" s="74" t="s">
        <v>679</v>
      </c>
      <c r="C4" s="75"/>
      <c r="D4" s="76">
        <v>36563</v>
      </c>
      <c r="E4" s="78"/>
      <c r="F4" s="79">
        <f>(D4-E4)+D3</f>
        <v>45901.4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6"/>
      <c r="B5" s="16" t="s">
        <v>680</v>
      </c>
      <c r="C5" s="17" t="s">
        <v>27</v>
      </c>
      <c r="D5" s="18"/>
      <c r="E5" s="19">
        <v>356</v>
      </c>
      <c r="F5" s="11">
        <f t="shared" ref="F5:F127" si="0">(D5-E5)+F4</f>
        <v>45545.4</v>
      </c>
      <c r="G5" s="11"/>
      <c r="H5" s="20"/>
      <c r="I5" s="20"/>
      <c r="J5" s="20"/>
      <c r="K5" s="20"/>
      <c r="L5" s="20"/>
      <c r="M5" s="20"/>
      <c r="N5" s="20"/>
    </row>
    <row r="6" customHeight="1" spans="1:14">
      <c r="A6" s="6" t="s">
        <v>681</v>
      </c>
      <c r="B6" s="7" t="s">
        <v>682</v>
      </c>
      <c r="C6" s="8" t="s">
        <v>210</v>
      </c>
      <c r="D6" s="9"/>
      <c r="E6" s="10">
        <v>400</v>
      </c>
      <c r="F6" s="11">
        <f t="shared" si="0"/>
        <v>45145.4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/>
      <c r="B7" s="7" t="s">
        <v>683</v>
      </c>
      <c r="C7" s="8" t="s">
        <v>86</v>
      </c>
      <c r="D7" s="9"/>
      <c r="E7" s="10">
        <v>180</v>
      </c>
      <c r="F7" s="11">
        <f t="shared" si="0"/>
        <v>44965.4</v>
      </c>
      <c r="G7" s="20"/>
      <c r="H7" s="20"/>
      <c r="I7" s="20"/>
      <c r="J7" s="20"/>
      <c r="K7" s="20"/>
      <c r="L7" s="20"/>
      <c r="M7" s="20"/>
      <c r="N7" s="20"/>
    </row>
    <row r="8" customHeight="1" spans="1:14">
      <c r="A8" s="6"/>
      <c r="B8" s="7" t="s">
        <v>684</v>
      </c>
      <c r="C8" s="8" t="s">
        <v>219</v>
      </c>
      <c r="D8" s="9"/>
      <c r="E8" s="10">
        <v>4000</v>
      </c>
      <c r="F8" s="11">
        <f t="shared" si="0"/>
        <v>40965.4</v>
      </c>
      <c r="G8" s="20"/>
      <c r="H8" s="20"/>
      <c r="I8" s="20"/>
      <c r="J8" s="20"/>
      <c r="K8" s="20"/>
      <c r="L8" s="20"/>
      <c r="M8" s="20"/>
      <c r="N8" s="20"/>
    </row>
    <row r="9" customHeight="1" spans="1:14">
      <c r="A9" s="6"/>
      <c r="B9" s="7" t="s">
        <v>24</v>
      </c>
      <c r="C9" s="8" t="s">
        <v>214</v>
      </c>
      <c r="D9" s="9"/>
      <c r="E9" s="10">
        <v>15000</v>
      </c>
      <c r="F9" s="11">
        <f t="shared" si="0"/>
        <v>25965.4</v>
      </c>
      <c r="G9" s="20">
        <f>ABS(G10-F28)</f>
        <v>4930.5</v>
      </c>
      <c r="H9" s="20"/>
      <c r="I9" s="20"/>
      <c r="J9" s="20"/>
      <c r="K9" s="20"/>
      <c r="L9" s="20"/>
      <c r="M9" s="20"/>
      <c r="N9" s="20"/>
    </row>
    <row r="10" customHeight="1" spans="1:14">
      <c r="A10" s="6"/>
      <c r="B10" s="7" t="s">
        <v>685</v>
      </c>
      <c r="C10" s="8" t="s">
        <v>219</v>
      </c>
      <c r="D10" s="9"/>
      <c r="E10" s="10">
        <v>50</v>
      </c>
      <c r="F10" s="11">
        <f t="shared" si="0"/>
        <v>25915.4</v>
      </c>
      <c r="G10" s="11">
        <f>H10+I10+J10+K10+L10+M10+N10</f>
        <v>25915.4</v>
      </c>
      <c r="H10" s="20">
        <v>0</v>
      </c>
      <c r="I10">
        <v>7984.95</v>
      </c>
      <c r="J10" s="20">
        <v>0</v>
      </c>
      <c r="K10" s="20">
        <v>0</v>
      </c>
      <c r="L10" s="20">
        <f>32823.45-15000</f>
        <v>17823.45</v>
      </c>
      <c r="M10" s="20">
        <v>0</v>
      </c>
      <c r="N10" s="20">
        <v>107</v>
      </c>
    </row>
    <row r="11" customHeight="1" spans="1:14">
      <c r="A11" s="22" t="s">
        <v>686</v>
      </c>
      <c r="B11" s="23" t="s">
        <v>687</v>
      </c>
      <c r="C11" s="24" t="s">
        <v>214</v>
      </c>
      <c r="D11" s="25"/>
      <c r="E11" s="26">
        <v>195</v>
      </c>
      <c r="F11" s="27">
        <f t="shared" si="0"/>
        <v>25720.4</v>
      </c>
      <c r="G11" s="38"/>
      <c r="H11" s="38"/>
      <c r="I11" s="38"/>
      <c r="J11" s="38"/>
      <c r="K11" s="38"/>
      <c r="L11" s="38"/>
      <c r="M11" s="38"/>
      <c r="N11" s="38"/>
    </row>
    <row r="12" customHeight="1" spans="1:14">
      <c r="A12" s="6"/>
      <c r="B12" s="7" t="s">
        <v>688</v>
      </c>
      <c r="C12" s="8" t="s">
        <v>224</v>
      </c>
      <c r="D12" s="9"/>
      <c r="E12" s="10">
        <v>25</v>
      </c>
      <c r="F12" s="11">
        <f t="shared" si="0"/>
        <v>25695.4</v>
      </c>
      <c r="G12" s="20"/>
      <c r="H12" s="20"/>
      <c r="I12" s="20"/>
      <c r="J12" s="20"/>
      <c r="K12" s="20"/>
      <c r="L12" s="20"/>
      <c r="M12" s="20"/>
      <c r="N12" s="20"/>
    </row>
    <row r="13" customHeight="1" spans="1:14">
      <c r="A13" s="6"/>
      <c r="B13" s="7" t="s">
        <v>19</v>
      </c>
      <c r="C13" s="8" t="s">
        <v>27</v>
      </c>
      <c r="D13" s="9"/>
      <c r="E13" s="10">
        <v>60</v>
      </c>
      <c r="F13" s="11">
        <f t="shared" si="0"/>
        <v>25635.4</v>
      </c>
      <c r="G13" s="127"/>
      <c r="H13" s="13"/>
      <c r="I13" s="13"/>
      <c r="J13" s="13"/>
      <c r="K13" s="13"/>
      <c r="L13" s="13"/>
      <c r="M13" s="13"/>
      <c r="N13" s="13"/>
    </row>
    <row r="14" customHeight="1" spans="1:14">
      <c r="A14" s="6"/>
      <c r="B14" s="7" t="s">
        <v>407</v>
      </c>
      <c r="C14" s="8" t="s">
        <v>27</v>
      </c>
      <c r="D14" s="9"/>
      <c r="E14" s="10">
        <v>60</v>
      </c>
      <c r="F14" s="11">
        <f t="shared" si="0"/>
        <v>25575.4</v>
      </c>
      <c r="G14" s="127"/>
      <c r="H14" s="13"/>
      <c r="I14" s="13"/>
      <c r="J14" s="13"/>
      <c r="K14" s="13"/>
      <c r="L14" s="13"/>
      <c r="M14" s="13"/>
      <c r="N14" s="13"/>
    </row>
    <row r="15" customHeight="1" spans="1:14">
      <c r="A15" s="6"/>
      <c r="B15" s="7" t="s">
        <v>689</v>
      </c>
      <c r="C15" s="8" t="s">
        <v>27</v>
      </c>
      <c r="D15" s="9"/>
      <c r="E15" s="10">
        <v>1103.5</v>
      </c>
      <c r="F15" s="11">
        <f t="shared" si="0"/>
        <v>24471.9</v>
      </c>
      <c r="G15" s="15"/>
      <c r="H15" s="15"/>
      <c r="I15" s="15"/>
      <c r="J15" s="15"/>
      <c r="K15" s="15"/>
      <c r="L15" s="15"/>
      <c r="M15" s="15"/>
      <c r="N15" s="15"/>
    </row>
    <row r="16" customHeight="1" spans="1:14">
      <c r="A16" s="6"/>
      <c r="B16" s="7" t="s">
        <v>690</v>
      </c>
      <c r="C16" s="8" t="s">
        <v>54</v>
      </c>
      <c r="D16" s="9"/>
      <c r="E16" s="10">
        <v>570</v>
      </c>
      <c r="F16" s="11">
        <f t="shared" si="0"/>
        <v>23901.9</v>
      </c>
      <c r="G16" s="20">
        <f>ABS(G17-F17)</f>
        <v>0</v>
      </c>
      <c r="H16" s="20"/>
      <c r="I16" s="20"/>
      <c r="J16" s="20"/>
      <c r="K16" s="20"/>
      <c r="L16" s="20"/>
      <c r="M16" s="20"/>
      <c r="N16" s="20"/>
    </row>
    <row r="17" customHeight="1" spans="1:14">
      <c r="A17" s="6"/>
      <c r="B17" s="16" t="s">
        <v>691</v>
      </c>
      <c r="C17" s="17" t="s">
        <v>27</v>
      </c>
      <c r="D17" s="18"/>
      <c r="E17" s="19">
        <v>1251.75</v>
      </c>
      <c r="F17" s="11">
        <f t="shared" si="0"/>
        <v>22650.15</v>
      </c>
      <c r="G17" s="11">
        <f>H17+I17+J17+K17+L17+M17+N17</f>
        <v>22650.15</v>
      </c>
      <c r="H17" s="20">
        <v>0</v>
      </c>
      <c r="I17">
        <v>6733.2</v>
      </c>
      <c r="J17" s="20">
        <v>0</v>
      </c>
      <c r="K17" s="20">
        <v>0</v>
      </c>
      <c r="L17" s="20">
        <v>15809.95</v>
      </c>
      <c r="M17" s="20">
        <v>0</v>
      </c>
      <c r="N17" s="20">
        <v>107</v>
      </c>
    </row>
    <row r="18" customHeight="1" spans="1:14">
      <c r="A18" s="22" t="s">
        <v>692</v>
      </c>
      <c r="B18" s="23" t="s">
        <v>437</v>
      </c>
      <c r="C18" s="24"/>
      <c r="D18" s="25">
        <v>1000</v>
      </c>
      <c r="E18" s="26"/>
      <c r="F18" s="27">
        <f t="shared" si="0"/>
        <v>23650.15</v>
      </c>
      <c r="G18" s="38"/>
      <c r="H18" s="63"/>
      <c r="I18" s="147"/>
      <c r="J18" s="63"/>
      <c r="K18" s="63"/>
      <c r="L18" s="38"/>
      <c r="M18" s="63"/>
      <c r="N18" s="63"/>
    </row>
    <row r="19" customHeight="1" spans="1:14">
      <c r="A19" s="6"/>
      <c r="B19" s="7" t="s">
        <v>19</v>
      </c>
      <c r="C19" s="8" t="s">
        <v>27</v>
      </c>
      <c r="D19" s="9"/>
      <c r="E19" s="10">
        <v>60</v>
      </c>
      <c r="F19" s="11">
        <f t="shared" si="0"/>
        <v>23590.15</v>
      </c>
      <c r="G19" s="15"/>
      <c r="H19" s="15"/>
      <c r="I19" s="15"/>
      <c r="J19" s="15"/>
      <c r="K19" s="15"/>
      <c r="L19" s="15"/>
      <c r="M19" s="15"/>
      <c r="N19" s="15"/>
    </row>
    <row r="20" customHeight="1" spans="1:14">
      <c r="A20" s="6"/>
      <c r="B20" s="16" t="s">
        <v>601</v>
      </c>
      <c r="C20" s="17" t="s">
        <v>86</v>
      </c>
      <c r="D20" s="18"/>
      <c r="E20" s="19">
        <v>488</v>
      </c>
      <c r="F20" s="11">
        <f t="shared" si="0"/>
        <v>23102.15</v>
      </c>
      <c r="G20" s="15"/>
      <c r="H20" s="15"/>
      <c r="I20" s="15"/>
      <c r="J20" s="15"/>
      <c r="K20" s="15"/>
      <c r="L20" s="15"/>
      <c r="M20" s="15"/>
      <c r="N20" s="15"/>
    </row>
    <row r="21" customHeight="1" spans="1:14">
      <c r="A21" s="6" t="s">
        <v>693</v>
      </c>
      <c r="B21" s="7" t="s">
        <v>694</v>
      </c>
      <c r="C21" s="8" t="s">
        <v>27</v>
      </c>
      <c r="D21" s="9"/>
      <c r="E21" s="10">
        <v>482.25</v>
      </c>
      <c r="F21" s="11">
        <f t="shared" si="0"/>
        <v>22619.9</v>
      </c>
      <c r="G21" s="15"/>
      <c r="H21" s="15"/>
      <c r="I21" s="15"/>
      <c r="J21" s="15"/>
      <c r="K21" s="15"/>
      <c r="L21" s="15"/>
      <c r="M21" s="15"/>
      <c r="N21" s="15"/>
    </row>
    <row r="22" customHeight="1" spans="1:14">
      <c r="A22" s="6"/>
      <c r="B22" s="7" t="s">
        <v>695</v>
      </c>
      <c r="C22" s="8" t="s">
        <v>27</v>
      </c>
      <c r="D22" s="9"/>
      <c r="E22" s="10">
        <v>848</v>
      </c>
      <c r="F22" s="11">
        <f t="shared" si="0"/>
        <v>21771.9</v>
      </c>
      <c r="G22" s="15"/>
      <c r="H22" s="15"/>
      <c r="I22" s="15"/>
      <c r="J22" s="15"/>
      <c r="K22" s="15"/>
      <c r="L22" s="15"/>
      <c r="M22" s="15"/>
      <c r="N22" s="15"/>
    </row>
    <row r="23" customHeight="1" spans="1:6">
      <c r="A23" s="145"/>
      <c r="B23" s="7" t="s">
        <v>696</v>
      </c>
      <c r="C23" s="8" t="s">
        <v>245</v>
      </c>
      <c r="D23" s="9"/>
      <c r="E23" s="10">
        <v>77</v>
      </c>
      <c r="F23" s="11">
        <f t="shared" si="0"/>
        <v>21694.9</v>
      </c>
    </row>
    <row r="24" customHeight="1" spans="1:6">
      <c r="A24" s="6"/>
      <c r="B24" s="7" t="s">
        <v>697</v>
      </c>
      <c r="C24" s="8" t="s">
        <v>224</v>
      </c>
      <c r="D24" s="9"/>
      <c r="E24" s="10">
        <v>20</v>
      </c>
      <c r="F24" s="11">
        <f t="shared" si="0"/>
        <v>21674.9</v>
      </c>
    </row>
    <row r="25" customHeight="1" spans="1:6">
      <c r="A25" s="6"/>
      <c r="B25" s="7" t="s">
        <v>129</v>
      </c>
      <c r="C25" s="8" t="s">
        <v>210</v>
      </c>
      <c r="D25" s="9"/>
      <c r="E25" s="10">
        <v>400</v>
      </c>
      <c r="F25" s="11">
        <f t="shared" si="0"/>
        <v>21274.9</v>
      </c>
    </row>
    <row r="26" customHeight="1" spans="1:6">
      <c r="A26" s="145">
        <v>45817</v>
      </c>
      <c r="B26" s="7" t="s">
        <v>698</v>
      </c>
      <c r="C26" s="8"/>
      <c r="D26" s="9">
        <v>540</v>
      </c>
      <c r="E26" s="10"/>
      <c r="F26" s="11">
        <f t="shared" si="0"/>
        <v>21814.9</v>
      </c>
    </row>
    <row r="27" customHeight="1" spans="1:14">
      <c r="A27" s="6"/>
      <c r="B27" s="134" t="s">
        <v>699</v>
      </c>
      <c r="C27" s="8" t="s">
        <v>219</v>
      </c>
      <c r="D27" s="9"/>
      <c r="E27" s="10">
        <v>730</v>
      </c>
      <c r="F27" s="11">
        <f t="shared" si="0"/>
        <v>21084.9</v>
      </c>
      <c r="G27" s="15"/>
      <c r="H27" s="15"/>
      <c r="I27" s="15"/>
      <c r="J27" s="15"/>
      <c r="K27" s="15"/>
      <c r="L27" s="15"/>
      <c r="M27" s="15"/>
      <c r="N27" s="15"/>
    </row>
    <row r="28" customHeight="1" spans="1:14">
      <c r="A28" s="6"/>
      <c r="B28" s="7" t="s">
        <v>700</v>
      </c>
      <c r="C28" s="8" t="s">
        <v>219</v>
      </c>
      <c r="D28" s="9"/>
      <c r="E28" s="10">
        <v>100</v>
      </c>
      <c r="F28" s="11">
        <f t="shared" si="0"/>
        <v>20984.9</v>
      </c>
      <c r="G28" s="15"/>
      <c r="H28" s="15"/>
      <c r="I28" s="15"/>
      <c r="J28" s="15"/>
      <c r="K28" s="15"/>
      <c r="L28" s="15"/>
      <c r="M28" s="15"/>
      <c r="N28" s="15"/>
    </row>
    <row r="29" customHeight="1" spans="1:14">
      <c r="A29" s="6"/>
      <c r="B29" s="7" t="s">
        <v>701</v>
      </c>
      <c r="C29" s="8" t="s">
        <v>219</v>
      </c>
      <c r="D29" s="9"/>
      <c r="E29" s="10">
        <v>500</v>
      </c>
      <c r="F29" s="11">
        <f t="shared" si="0"/>
        <v>20484.9</v>
      </c>
      <c r="G29" s="12"/>
      <c r="H29" s="12"/>
      <c r="I29" s="12"/>
      <c r="J29" s="12"/>
      <c r="K29" s="12"/>
      <c r="L29" s="12"/>
      <c r="M29" s="12"/>
      <c r="N29" s="12"/>
    </row>
    <row r="30" customHeight="1" spans="1:14">
      <c r="A30" s="6" t="s">
        <v>702</v>
      </c>
      <c r="B30" s="7" t="s">
        <v>703</v>
      </c>
      <c r="C30" s="8" t="s">
        <v>219</v>
      </c>
      <c r="D30" s="9"/>
      <c r="E30" s="10">
        <v>200</v>
      </c>
      <c r="F30" s="11">
        <f t="shared" si="0"/>
        <v>20284.9</v>
      </c>
      <c r="G30" s="15"/>
      <c r="H30" s="15"/>
      <c r="I30" s="15"/>
      <c r="J30" s="15"/>
      <c r="K30" s="15"/>
      <c r="L30" s="15"/>
      <c r="M30" s="15"/>
      <c r="N30" s="15"/>
    </row>
    <row r="31" customHeight="1" spans="1:14">
      <c r="A31" s="6"/>
      <c r="B31" s="7"/>
      <c r="C31" s="8" t="s">
        <v>219</v>
      </c>
      <c r="D31" s="9"/>
      <c r="E31" s="10">
        <v>250</v>
      </c>
      <c r="F31" s="11">
        <f t="shared" si="0"/>
        <v>20034.9</v>
      </c>
      <c r="G31" s="15"/>
      <c r="H31" s="15"/>
      <c r="I31" s="15"/>
      <c r="J31" s="15"/>
      <c r="K31" s="15"/>
      <c r="L31" s="15"/>
      <c r="M31" s="15"/>
      <c r="N31" s="15"/>
    </row>
    <row r="32" customHeight="1" spans="1:14">
      <c r="A32" s="6" t="s">
        <v>704</v>
      </c>
      <c r="B32" s="7" t="s">
        <v>705</v>
      </c>
      <c r="C32" s="8" t="s">
        <v>224</v>
      </c>
      <c r="D32" s="9"/>
      <c r="E32" s="10">
        <v>20</v>
      </c>
      <c r="F32" s="11">
        <f t="shared" si="0"/>
        <v>20014.9</v>
      </c>
      <c r="G32" s="15"/>
      <c r="H32" s="15"/>
      <c r="I32" s="15"/>
      <c r="J32" s="15"/>
      <c r="K32" s="15"/>
      <c r="L32" s="15"/>
      <c r="M32" s="15"/>
      <c r="N32" s="15"/>
    </row>
    <row r="33" customHeight="1" spans="1:14">
      <c r="A33" s="6"/>
      <c r="B33" s="7" t="s">
        <v>706</v>
      </c>
      <c r="C33" s="8" t="s">
        <v>214</v>
      </c>
      <c r="D33" s="9"/>
      <c r="E33" s="10">
        <v>426</v>
      </c>
      <c r="F33" s="11">
        <f t="shared" si="0"/>
        <v>19588.9</v>
      </c>
      <c r="G33" s="15"/>
      <c r="H33" s="15"/>
      <c r="I33" s="15"/>
      <c r="J33" s="15"/>
      <c r="K33" s="15"/>
      <c r="L33" s="15"/>
      <c r="M33" s="15"/>
      <c r="N33" s="15"/>
    </row>
    <row r="34" customHeight="1" spans="1:14">
      <c r="A34" s="6"/>
      <c r="B34" s="7" t="s">
        <v>129</v>
      </c>
      <c r="C34" s="8" t="s">
        <v>210</v>
      </c>
      <c r="D34" s="9"/>
      <c r="E34" s="10">
        <v>400</v>
      </c>
      <c r="F34" s="11">
        <f t="shared" si="0"/>
        <v>19188.9</v>
      </c>
      <c r="G34" s="20">
        <f>ABS(G35-F35)</f>
        <v>0</v>
      </c>
      <c r="H34" s="20"/>
      <c r="I34" s="20"/>
      <c r="J34" s="20"/>
      <c r="K34" s="20"/>
      <c r="L34" s="20"/>
      <c r="M34" s="20"/>
      <c r="N34" s="20"/>
    </row>
    <row r="35" customHeight="1" spans="1:14">
      <c r="A35" s="6"/>
      <c r="B35" s="7" t="s">
        <v>707</v>
      </c>
      <c r="C35" s="8" t="s">
        <v>219</v>
      </c>
      <c r="D35" s="9"/>
      <c r="E35" s="10">
        <v>494</v>
      </c>
      <c r="F35" s="11">
        <f t="shared" si="0"/>
        <v>18694.9</v>
      </c>
      <c r="G35" s="11">
        <f>H35+I35+J35+K35+L35+M35+N35</f>
        <v>18694.9</v>
      </c>
      <c r="H35" s="20">
        <v>0</v>
      </c>
      <c r="I35">
        <v>6245.2</v>
      </c>
      <c r="J35" s="20">
        <v>0</v>
      </c>
      <c r="K35" s="20">
        <v>0</v>
      </c>
      <c r="L35" s="20">
        <v>12426.7</v>
      </c>
      <c r="M35" s="20">
        <v>0</v>
      </c>
      <c r="N35" s="20">
        <v>23</v>
      </c>
    </row>
    <row r="36" customHeight="1" spans="1:14">
      <c r="A36" s="6" t="s">
        <v>708</v>
      </c>
      <c r="B36" s="7" t="s">
        <v>709</v>
      </c>
      <c r="C36" s="8" t="s">
        <v>27</v>
      </c>
      <c r="D36" s="9"/>
      <c r="E36" s="10">
        <v>592.61</v>
      </c>
      <c r="F36" s="11">
        <f t="shared" si="0"/>
        <v>18102.29</v>
      </c>
      <c r="G36" s="15"/>
      <c r="H36" s="15"/>
      <c r="I36" s="15"/>
      <c r="J36" s="15"/>
      <c r="K36" s="15"/>
      <c r="L36" s="15"/>
      <c r="M36" s="15"/>
      <c r="N36" s="15"/>
    </row>
    <row r="37" customHeight="1" spans="1:6">
      <c r="A37" s="6"/>
      <c r="B37" s="7" t="s">
        <v>21</v>
      </c>
      <c r="C37" s="8" t="s">
        <v>27</v>
      </c>
      <c r="D37" s="9"/>
      <c r="E37" s="10">
        <v>1357</v>
      </c>
      <c r="F37" s="11">
        <f t="shared" si="0"/>
        <v>16745.29</v>
      </c>
    </row>
    <row r="38" customHeight="1" spans="1:6">
      <c r="A38" s="6"/>
      <c r="B38" s="16" t="s">
        <v>710</v>
      </c>
      <c r="C38" s="17" t="s">
        <v>27</v>
      </c>
      <c r="D38" s="18"/>
      <c r="E38" s="19">
        <f>609-211</f>
        <v>398</v>
      </c>
      <c r="F38" s="11">
        <f t="shared" si="0"/>
        <v>16347.29</v>
      </c>
    </row>
    <row r="39" customHeight="1" spans="1:6">
      <c r="A39" s="6"/>
      <c r="B39" s="16" t="s">
        <v>711</v>
      </c>
      <c r="C39" s="17" t="s">
        <v>245</v>
      </c>
      <c r="D39" s="18"/>
      <c r="E39" s="19">
        <v>211</v>
      </c>
      <c r="F39" s="11">
        <f t="shared" si="0"/>
        <v>16136.29</v>
      </c>
    </row>
    <row r="40" customHeight="1" spans="1:14">
      <c r="A40" s="159">
        <v>45939</v>
      </c>
      <c r="B40" s="23" t="s">
        <v>712</v>
      </c>
      <c r="C40" s="24" t="s">
        <v>27</v>
      </c>
      <c r="D40" s="25"/>
      <c r="E40" s="26">
        <v>1320</v>
      </c>
      <c r="F40" s="27">
        <f t="shared" si="0"/>
        <v>14816.29</v>
      </c>
      <c r="G40" s="28"/>
      <c r="H40" s="28"/>
      <c r="I40" s="28"/>
      <c r="J40" s="28"/>
      <c r="K40" s="28"/>
      <c r="L40" s="28"/>
      <c r="M40" s="28"/>
      <c r="N40" s="28"/>
    </row>
    <row r="41" customHeight="1" spans="1:14">
      <c r="A41" s="6"/>
      <c r="B41" s="16" t="s">
        <v>713</v>
      </c>
      <c r="C41" s="17" t="s">
        <v>27</v>
      </c>
      <c r="D41" s="18"/>
      <c r="E41" s="19">
        <v>255.19</v>
      </c>
      <c r="F41" s="11">
        <f t="shared" si="0"/>
        <v>14561.1</v>
      </c>
      <c r="G41" s="20"/>
      <c r="H41" s="15"/>
      <c r="I41" s="13"/>
      <c r="J41" s="15"/>
      <c r="K41" s="15"/>
      <c r="L41" s="20"/>
      <c r="M41" s="15"/>
      <c r="N41" s="15"/>
    </row>
    <row r="42" customHeight="1" spans="1:14">
      <c r="A42" s="6"/>
      <c r="B42" s="7" t="s">
        <v>714</v>
      </c>
      <c r="C42" s="8" t="s">
        <v>245</v>
      </c>
      <c r="D42" s="9"/>
      <c r="E42" s="10">
        <v>40</v>
      </c>
      <c r="F42" s="11">
        <f t="shared" si="0"/>
        <v>14521.1</v>
      </c>
      <c r="G42" s="15"/>
      <c r="H42" s="15"/>
      <c r="I42" s="15"/>
      <c r="J42" s="15"/>
      <c r="K42" s="15"/>
      <c r="L42" s="15"/>
      <c r="M42" s="15"/>
      <c r="N42" s="15"/>
    </row>
    <row r="43" customHeight="1" spans="1:14">
      <c r="A43" s="6" t="s">
        <v>715</v>
      </c>
      <c r="B43" s="7" t="s">
        <v>614</v>
      </c>
      <c r="C43" s="8" t="s">
        <v>86</v>
      </c>
      <c r="D43" s="9"/>
      <c r="E43" s="10">
        <v>40</v>
      </c>
      <c r="F43" s="11">
        <f t="shared" si="0"/>
        <v>14481.1</v>
      </c>
      <c r="G43" s="15"/>
      <c r="H43" s="15"/>
      <c r="I43" s="15"/>
      <c r="J43" s="15"/>
      <c r="K43" s="15"/>
      <c r="L43" s="15"/>
      <c r="M43" s="15"/>
      <c r="N43" s="15"/>
    </row>
    <row r="44" customHeight="1" spans="1:14">
      <c r="A44" s="6"/>
      <c r="B44" s="16" t="s">
        <v>716</v>
      </c>
      <c r="C44" s="17" t="s">
        <v>27</v>
      </c>
      <c r="D44" s="18"/>
      <c r="E44" s="19">
        <v>238.77</v>
      </c>
      <c r="F44" s="11">
        <f t="shared" si="0"/>
        <v>14242.33</v>
      </c>
      <c r="G44" s="15"/>
      <c r="H44" s="15"/>
      <c r="I44" s="15"/>
      <c r="J44" s="15"/>
      <c r="K44" s="15"/>
      <c r="L44" s="15"/>
      <c r="M44" s="15"/>
      <c r="N44" s="15"/>
    </row>
    <row r="45" customHeight="1" spans="1:14">
      <c r="A45" s="145">
        <v>46000</v>
      </c>
      <c r="B45" s="7" t="s">
        <v>717</v>
      </c>
      <c r="C45" s="8" t="s">
        <v>245</v>
      </c>
      <c r="D45" s="9"/>
      <c r="E45" s="10">
        <v>337</v>
      </c>
      <c r="F45" s="11">
        <f t="shared" si="0"/>
        <v>13905.33</v>
      </c>
      <c r="G45" s="15"/>
      <c r="H45" s="15"/>
      <c r="I45" s="15"/>
      <c r="J45" s="15"/>
      <c r="K45" s="15"/>
      <c r="L45" s="15"/>
      <c r="M45" s="15"/>
      <c r="N45" s="15"/>
    </row>
    <row r="46" customHeight="1" spans="1:14">
      <c r="A46" s="6"/>
      <c r="B46" s="16" t="s">
        <v>268</v>
      </c>
      <c r="C46" s="17" t="s">
        <v>86</v>
      </c>
      <c r="D46" s="18"/>
      <c r="E46" s="19">
        <v>290</v>
      </c>
      <c r="F46" s="11">
        <f t="shared" si="0"/>
        <v>13615.33</v>
      </c>
      <c r="G46" s="15"/>
      <c r="H46" s="15"/>
      <c r="I46" s="15"/>
      <c r="J46" s="15"/>
      <c r="K46" s="15"/>
      <c r="L46" s="15"/>
      <c r="M46" s="15"/>
      <c r="N46" s="15"/>
    </row>
    <row r="47" customHeight="1" spans="1:6">
      <c r="A47" s="6" t="s">
        <v>718</v>
      </c>
      <c r="B47" s="7" t="s">
        <v>719</v>
      </c>
      <c r="C47" s="8" t="s">
        <v>27</v>
      </c>
      <c r="D47" s="9"/>
      <c r="E47" s="10">
        <v>131.99</v>
      </c>
      <c r="F47" s="11">
        <f t="shared" si="0"/>
        <v>13483.34</v>
      </c>
    </row>
    <row r="48" customHeight="1" spans="1:14">
      <c r="A48" s="6"/>
      <c r="B48" s="7" t="s">
        <v>720</v>
      </c>
      <c r="C48" s="8" t="s">
        <v>214</v>
      </c>
      <c r="D48" s="9"/>
      <c r="E48" s="10">
        <v>955</v>
      </c>
      <c r="F48" s="11">
        <f t="shared" si="0"/>
        <v>12528.34</v>
      </c>
      <c r="G48" s="20">
        <f>ABS(G49-F49)</f>
        <v>0.100000000000364</v>
      </c>
      <c r="H48" s="20"/>
      <c r="I48" s="20"/>
      <c r="J48" s="20"/>
      <c r="K48" s="20"/>
      <c r="L48" s="20"/>
      <c r="M48" s="20"/>
      <c r="N48" s="20"/>
    </row>
    <row r="49" customHeight="1" spans="1:14">
      <c r="A49" s="6"/>
      <c r="B49" s="7" t="s">
        <v>33</v>
      </c>
      <c r="C49" s="8" t="s">
        <v>201</v>
      </c>
      <c r="D49" s="9"/>
      <c r="E49" s="10">
        <v>200</v>
      </c>
      <c r="F49" s="11">
        <f t="shared" si="0"/>
        <v>12328.34</v>
      </c>
      <c r="G49" s="11">
        <f>H49+I49+J49+K49+L49+M49+N49</f>
        <v>12328.24</v>
      </c>
      <c r="H49" s="20">
        <v>0</v>
      </c>
      <c r="I49">
        <v>4852.24</v>
      </c>
      <c r="J49" s="20">
        <v>0</v>
      </c>
      <c r="K49" s="20">
        <v>0</v>
      </c>
      <c r="L49" s="20">
        <v>6153</v>
      </c>
      <c r="M49" s="20">
        <v>0</v>
      </c>
      <c r="N49" s="20">
        <f>1500+23-200</f>
        <v>1323</v>
      </c>
    </row>
    <row r="50" customHeight="1" spans="1:14">
      <c r="A50" s="6"/>
      <c r="B50" s="7" t="s">
        <v>37</v>
      </c>
      <c r="C50" s="8" t="s">
        <v>86</v>
      </c>
      <c r="D50" s="9"/>
      <c r="E50" s="10">
        <v>224</v>
      </c>
      <c r="F50" s="11">
        <f t="shared" si="0"/>
        <v>12104.34</v>
      </c>
      <c r="G50" s="11"/>
      <c r="H50" s="20"/>
      <c r="I50" s="20"/>
      <c r="J50" s="20"/>
      <c r="K50" s="20"/>
      <c r="L50" s="20"/>
      <c r="M50" s="20"/>
      <c r="N50" s="20"/>
    </row>
    <row r="51" customHeight="1" spans="1:14">
      <c r="A51" s="22" t="s">
        <v>721</v>
      </c>
      <c r="B51" s="23"/>
      <c r="C51" s="24" t="s">
        <v>219</v>
      </c>
      <c r="D51" s="25"/>
      <c r="E51" s="26">
        <v>200</v>
      </c>
      <c r="F51" s="27">
        <f t="shared" si="0"/>
        <v>11904.34</v>
      </c>
      <c r="G51" s="27"/>
      <c r="H51" s="38"/>
      <c r="I51" s="38"/>
      <c r="J51" s="38"/>
      <c r="K51" s="38"/>
      <c r="L51" s="38"/>
      <c r="M51" s="38"/>
      <c r="N51" s="38"/>
    </row>
    <row r="52" customHeight="1" spans="1:14">
      <c r="A52" s="6"/>
      <c r="B52" s="7" t="s">
        <v>722</v>
      </c>
      <c r="C52" s="8" t="s">
        <v>27</v>
      </c>
      <c r="D52" s="9"/>
      <c r="E52" s="10">
        <v>292.06</v>
      </c>
      <c r="F52" s="11">
        <f t="shared" si="0"/>
        <v>11612.28</v>
      </c>
      <c r="G52" s="15"/>
      <c r="H52" s="15"/>
      <c r="I52" s="15"/>
      <c r="J52" s="15"/>
      <c r="K52" s="15"/>
      <c r="L52" s="15"/>
      <c r="M52" s="15"/>
      <c r="N52" s="15"/>
    </row>
    <row r="53" customHeight="1" spans="1:6">
      <c r="A53" s="6"/>
      <c r="B53" s="16" t="s">
        <v>723</v>
      </c>
      <c r="C53" s="17" t="s">
        <v>214</v>
      </c>
      <c r="D53" s="18"/>
      <c r="E53" s="19">
        <v>75</v>
      </c>
      <c r="F53" s="11">
        <f t="shared" si="0"/>
        <v>11537.28</v>
      </c>
    </row>
    <row r="54" customHeight="1" spans="1:14">
      <c r="A54" s="6" t="s">
        <v>724</v>
      </c>
      <c r="B54" s="7" t="s">
        <v>725</v>
      </c>
      <c r="C54" s="8" t="s">
        <v>245</v>
      </c>
      <c r="D54" s="9"/>
      <c r="E54" s="10">
        <v>854</v>
      </c>
      <c r="F54" s="11">
        <f t="shared" si="0"/>
        <v>10683.28</v>
      </c>
      <c r="G54" s="15"/>
      <c r="H54" s="15"/>
      <c r="I54" s="15"/>
      <c r="J54" s="15"/>
      <c r="K54" s="15"/>
      <c r="L54" s="15"/>
      <c r="M54" s="15"/>
      <c r="N54" s="15"/>
    </row>
    <row r="55" customHeight="1" spans="1:14">
      <c r="A55" s="6"/>
      <c r="B55" s="7" t="s">
        <v>531</v>
      </c>
      <c r="C55" s="8" t="s">
        <v>224</v>
      </c>
      <c r="D55" s="9"/>
      <c r="E55" s="10">
        <v>20</v>
      </c>
      <c r="F55" s="11">
        <f t="shared" si="0"/>
        <v>10663.28</v>
      </c>
      <c r="G55" s="12"/>
      <c r="H55" s="13"/>
      <c r="I55" s="13"/>
      <c r="J55" s="13"/>
      <c r="K55" s="13"/>
      <c r="L55" s="13"/>
      <c r="M55" s="13"/>
      <c r="N55" s="13"/>
    </row>
    <row r="56" customHeight="1" spans="1:14">
      <c r="A56" s="6" t="s">
        <v>726</v>
      </c>
      <c r="B56" s="16" t="s">
        <v>727</v>
      </c>
      <c r="C56" s="17" t="s">
        <v>86</v>
      </c>
      <c r="D56" s="18"/>
      <c r="E56" s="19">
        <v>490</v>
      </c>
      <c r="F56" s="11">
        <f t="shared" si="0"/>
        <v>10173.28</v>
      </c>
      <c r="G56" s="12"/>
      <c r="H56" s="13"/>
      <c r="I56" s="13"/>
      <c r="J56" s="13"/>
      <c r="K56" s="13"/>
      <c r="L56" s="13"/>
      <c r="M56" s="13"/>
      <c r="N56" s="13"/>
    </row>
    <row r="57" customHeight="1" spans="1:14">
      <c r="A57" s="6"/>
      <c r="B57" s="16" t="s">
        <v>728</v>
      </c>
      <c r="C57" s="17" t="s">
        <v>219</v>
      </c>
      <c r="D57" s="18"/>
      <c r="E57" s="19">
        <v>557.7</v>
      </c>
      <c r="F57" s="11">
        <f t="shared" si="0"/>
        <v>9615.58</v>
      </c>
      <c r="G57" s="12"/>
      <c r="H57" s="13"/>
      <c r="I57" s="13"/>
      <c r="J57" s="13"/>
      <c r="K57" s="13"/>
      <c r="L57" s="13"/>
      <c r="M57" s="13"/>
      <c r="N57" s="13"/>
    </row>
    <row r="58" customHeight="1" spans="1:14">
      <c r="A58" s="6"/>
      <c r="B58" s="7" t="s">
        <v>729</v>
      </c>
      <c r="C58" s="8"/>
      <c r="D58" s="9">
        <v>1000</v>
      </c>
      <c r="E58" s="10"/>
      <c r="F58" s="11">
        <f t="shared" si="0"/>
        <v>10615.58</v>
      </c>
      <c r="G58" s="21"/>
      <c r="H58" s="12"/>
      <c r="I58" s="12"/>
      <c r="J58" s="12"/>
      <c r="K58" s="12"/>
      <c r="L58" s="12"/>
      <c r="M58" s="12"/>
      <c r="N58" s="12"/>
    </row>
    <row r="59" customHeight="1" spans="1:14">
      <c r="A59" s="6" t="s">
        <v>730</v>
      </c>
      <c r="B59" s="16" t="s">
        <v>731</v>
      </c>
      <c r="C59" s="17" t="s">
        <v>27</v>
      </c>
      <c r="D59" s="18"/>
      <c r="E59" s="19">
        <v>1886.46</v>
      </c>
      <c r="F59" s="11">
        <f t="shared" si="0"/>
        <v>8729.12</v>
      </c>
      <c r="G59" s="15"/>
      <c r="H59" s="20"/>
      <c r="I59" s="20"/>
      <c r="J59" s="20"/>
      <c r="K59" s="20"/>
      <c r="L59" s="15"/>
      <c r="M59" s="20"/>
      <c r="N59" s="15"/>
    </row>
    <row r="60" customHeight="1" spans="1:14">
      <c r="A60" s="6"/>
      <c r="B60" s="7" t="s">
        <v>221</v>
      </c>
      <c r="C60" s="8" t="s">
        <v>214</v>
      </c>
      <c r="D60" s="9"/>
      <c r="E60" s="10">
        <v>2960</v>
      </c>
      <c r="F60" s="11">
        <f t="shared" si="0"/>
        <v>5769.12</v>
      </c>
      <c r="G60" s="20">
        <f>ABS(G61-F61)</f>
        <v>0</v>
      </c>
      <c r="H60" s="20"/>
      <c r="I60" s="20"/>
      <c r="J60" s="20"/>
      <c r="K60" s="20"/>
      <c r="L60" s="20"/>
      <c r="M60" s="20"/>
      <c r="N60" s="20"/>
    </row>
    <row r="61" customHeight="1" spans="1:14">
      <c r="A61" s="6"/>
      <c r="B61" s="7" t="s">
        <v>531</v>
      </c>
      <c r="C61" s="8" t="s">
        <v>224</v>
      </c>
      <c r="D61" s="9"/>
      <c r="E61" s="10">
        <v>30</v>
      </c>
      <c r="F61" s="11">
        <f t="shared" si="0"/>
        <v>5739.12</v>
      </c>
      <c r="G61" s="11">
        <f>H61+I61+J61+K61+L61+M61+N61</f>
        <v>5739.12</v>
      </c>
      <c r="H61" s="20">
        <v>0</v>
      </c>
      <c r="I61">
        <v>2843.08</v>
      </c>
      <c r="J61" s="20">
        <v>0</v>
      </c>
      <c r="K61" s="20">
        <v>0</v>
      </c>
      <c r="L61" s="20">
        <f>4763.04-2960-30</f>
        <v>1773.04</v>
      </c>
      <c r="M61" s="20">
        <v>0</v>
      </c>
      <c r="N61" s="20">
        <f>1100+23</f>
        <v>1123</v>
      </c>
    </row>
    <row r="62" customHeight="1" spans="1:14">
      <c r="A62" s="22" t="s">
        <v>732</v>
      </c>
      <c r="B62" s="23" t="s">
        <v>733</v>
      </c>
      <c r="C62" s="24" t="s">
        <v>214</v>
      </c>
      <c r="D62" s="25"/>
      <c r="E62" s="26">
        <v>380</v>
      </c>
      <c r="F62" s="27">
        <f t="shared" si="0"/>
        <v>5359.12</v>
      </c>
      <c r="G62" s="63"/>
      <c r="H62" s="63"/>
      <c r="I62" s="63"/>
      <c r="J62" s="63"/>
      <c r="K62" s="63"/>
      <c r="L62" s="63"/>
      <c r="M62" s="63"/>
      <c r="N62" s="147"/>
    </row>
    <row r="63" customHeight="1" spans="1:14">
      <c r="A63" s="6"/>
      <c r="B63" s="7" t="s">
        <v>734</v>
      </c>
      <c r="C63" s="8" t="s">
        <v>27</v>
      </c>
      <c r="D63" s="9"/>
      <c r="E63" s="10">
        <v>686.69</v>
      </c>
      <c r="F63" s="11">
        <f t="shared" si="0"/>
        <v>4672.43</v>
      </c>
      <c r="G63" s="15"/>
      <c r="H63" s="15"/>
      <c r="I63" s="15"/>
      <c r="J63" s="15"/>
      <c r="K63" s="15"/>
      <c r="L63" s="15"/>
      <c r="M63" s="15"/>
      <c r="N63" s="15"/>
    </row>
    <row r="64" customHeight="1" spans="1:14">
      <c r="A64" s="6" t="s">
        <v>735</v>
      </c>
      <c r="B64" s="7" t="s">
        <v>697</v>
      </c>
      <c r="C64" s="8" t="s">
        <v>224</v>
      </c>
      <c r="D64" s="9"/>
      <c r="E64" s="10">
        <v>20</v>
      </c>
      <c r="F64" s="11">
        <f t="shared" si="0"/>
        <v>4652.43</v>
      </c>
      <c r="G64" s="15"/>
      <c r="H64" s="15"/>
      <c r="I64" s="15"/>
      <c r="J64" s="15"/>
      <c r="K64" s="15"/>
      <c r="L64" s="15"/>
      <c r="M64" s="15"/>
      <c r="N64" s="15"/>
    </row>
    <row r="65" customHeight="1" spans="1:14">
      <c r="A65" s="6"/>
      <c r="B65" s="16" t="s">
        <v>39</v>
      </c>
      <c r="C65" s="17" t="s">
        <v>27</v>
      </c>
      <c r="D65" s="18"/>
      <c r="E65" s="19">
        <v>117.42</v>
      </c>
      <c r="F65" s="11">
        <f t="shared" si="0"/>
        <v>4535.01</v>
      </c>
      <c r="G65" s="15"/>
      <c r="H65" s="15"/>
      <c r="I65" s="15"/>
      <c r="J65" s="15"/>
      <c r="K65" s="15"/>
      <c r="L65" s="15"/>
      <c r="M65" s="15"/>
      <c r="N65" s="15"/>
    </row>
    <row r="66" customHeight="1" spans="1:14">
      <c r="A66" s="6" t="s">
        <v>736</v>
      </c>
      <c r="B66" s="7" t="s">
        <v>737</v>
      </c>
      <c r="C66" s="8" t="s">
        <v>245</v>
      </c>
      <c r="D66" s="9"/>
      <c r="E66" s="10">
        <v>75</v>
      </c>
      <c r="F66" s="11">
        <f t="shared" si="0"/>
        <v>4460.01</v>
      </c>
      <c r="G66" s="15"/>
      <c r="H66" s="15"/>
      <c r="I66" s="15"/>
      <c r="J66" s="15"/>
      <c r="K66" s="15"/>
      <c r="L66" s="15"/>
      <c r="M66" s="15"/>
      <c r="N66" s="15"/>
    </row>
    <row r="67" customHeight="1" spans="1:6">
      <c r="A67" s="6"/>
      <c r="B67" s="7" t="s">
        <v>22</v>
      </c>
      <c r="C67" s="8" t="s">
        <v>86</v>
      </c>
      <c r="D67" s="9"/>
      <c r="E67" s="10">
        <v>230</v>
      </c>
      <c r="F67" s="11">
        <f t="shared" si="0"/>
        <v>4230.01</v>
      </c>
    </row>
    <row r="68" customHeight="1" spans="1:6">
      <c r="A68" s="6"/>
      <c r="B68" s="7" t="s">
        <v>599</v>
      </c>
      <c r="C68" s="8" t="s">
        <v>214</v>
      </c>
      <c r="D68" s="9"/>
      <c r="E68" s="10">
        <v>130</v>
      </c>
      <c r="F68" s="11">
        <f t="shared" si="0"/>
        <v>4100.01</v>
      </c>
    </row>
    <row r="69" customHeight="1" spans="1:14">
      <c r="A69" s="6"/>
      <c r="B69" s="7" t="s">
        <v>33</v>
      </c>
      <c r="C69" s="8" t="s">
        <v>201</v>
      </c>
      <c r="D69" s="9"/>
      <c r="E69" s="10">
        <v>200</v>
      </c>
      <c r="F69" s="11">
        <f t="shared" si="0"/>
        <v>3900.01</v>
      </c>
      <c r="G69" s="15"/>
      <c r="H69" s="15"/>
      <c r="I69" s="15"/>
      <c r="J69" s="15"/>
      <c r="K69" s="15"/>
      <c r="L69" s="15"/>
      <c r="M69" s="15"/>
      <c r="N69" s="15"/>
    </row>
    <row r="70" customHeight="1" spans="1:14">
      <c r="A70" s="6"/>
      <c r="B70" s="7" t="s">
        <v>245</v>
      </c>
      <c r="C70" s="8" t="s">
        <v>245</v>
      </c>
      <c r="D70" s="9"/>
      <c r="E70" s="10">
        <v>295</v>
      </c>
      <c r="F70" s="11">
        <f t="shared" si="0"/>
        <v>3605.01</v>
      </c>
      <c r="G70" s="20">
        <f>ABS(G71-F71)</f>
        <v>3.00000000000182</v>
      </c>
      <c r="H70" s="20"/>
      <c r="I70" s="20"/>
      <c r="J70" s="20"/>
      <c r="K70" s="20"/>
      <c r="L70" s="20"/>
      <c r="M70" s="20"/>
      <c r="N70" s="20"/>
    </row>
    <row r="71" customHeight="1" spans="1:14">
      <c r="A71" s="6"/>
      <c r="B71" s="7" t="s">
        <v>738</v>
      </c>
      <c r="C71" s="8" t="s">
        <v>214</v>
      </c>
      <c r="D71" s="9"/>
      <c r="E71" s="10">
        <v>180</v>
      </c>
      <c r="F71" s="11">
        <f t="shared" si="0"/>
        <v>3425.01</v>
      </c>
      <c r="G71" s="11">
        <f>H71+I71+J71+K71+L71+M71+N71</f>
        <v>3428.01</v>
      </c>
      <c r="H71" s="20">
        <v>0</v>
      </c>
      <c r="I71" s="139">
        <v>1125.66</v>
      </c>
      <c r="J71" s="20">
        <v>0</v>
      </c>
      <c r="K71" s="20">
        <v>0</v>
      </c>
      <c r="L71" s="20">
        <f>1854.35</f>
        <v>1854.35</v>
      </c>
      <c r="M71" s="20">
        <v>0</v>
      </c>
      <c r="N71" s="20">
        <f>400+40+5+3</f>
        <v>448</v>
      </c>
    </row>
    <row r="72" customHeight="1" spans="1:14">
      <c r="A72" s="22" t="s">
        <v>739</v>
      </c>
      <c r="B72" s="23"/>
      <c r="C72" s="24" t="s">
        <v>219</v>
      </c>
      <c r="D72" s="25"/>
      <c r="E72" s="26">
        <v>200</v>
      </c>
      <c r="F72" s="27">
        <f t="shared" si="0"/>
        <v>3225.01</v>
      </c>
      <c r="G72" s="38"/>
      <c r="H72" s="38"/>
      <c r="I72" s="38"/>
      <c r="J72" s="38"/>
      <c r="K72" s="38"/>
      <c r="L72" s="38"/>
      <c r="M72" s="38"/>
      <c r="N72" s="38"/>
    </row>
    <row r="73" customHeight="1" spans="1:14">
      <c r="A73" s="6"/>
      <c r="B73" s="7" t="s">
        <v>224</v>
      </c>
      <c r="C73" s="8" t="s">
        <v>224</v>
      </c>
      <c r="D73" s="9"/>
      <c r="E73" s="10">
        <v>50</v>
      </c>
      <c r="F73" s="11">
        <f t="shared" si="0"/>
        <v>3175.01</v>
      </c>
      <c r="G73" s="20"/>
      <c r="H73" s="20"/>
      <c r="I73" s="20"/>
      <c r="J73" s="20"/>
      <c r="K73" s="20"/>
      <c r="L73" s="20"/>
      <c r="M73" s="20"/>
      <c r="N73" s="20"/>
    </row>
    <row r="74" customHeight="1" spans="1:14">
      <c r="A74" s="6"/>
      <c r="B74" s="16" t="s">
        <v>740</v>
      </c>
      <c r="C74" s="17" t="s">
        <v>27</v>
      </c>
      <c r="D74" s="18"/>
      <c r="E74" s="19">
        <v>214.99</v>
      </c>
      <c r="F74" s="11">
        <f t="shared" si="0"/>
        <v>2960.02</v>
      </c>
      <c r="G74" s="20"/>
      <c r="H74" s="20"/>
      <c r="I74" s="20"/>
      <c r="J74" s="20"/>
      <c r="K74" s="20"/>
      <c r="L74" s="20"/>
      <c r="M74" s="20"/>
      <c r="N74" s="20"/>
    </row>
    <row r="75" customHeight="1" spans="1:14">
      <c r="A75" s="6" t="s">
        <v>741</v>
      </c>
      <c r="B75" s="7" t="s">
        <v>531</v>
      </c>
      <c r="C75" s="8" t="s">
        <v>224</v>
      </c>
      <c r="D75" s="9"/>
      <c r="E75" s="10">
        <v>100</v>
      </c>
      <c r="F75" s="11">
        <f t="shared" si="0"/>
        <v>2860.02</v>
      </c>
      <c r="G75" s="11"/>
      <c r="H75" s="20"/>
      <c r="I75" s="13"/>
      <c r="J75" s="20"/>
      <c r="K75" s="20"/>
      <c r="L75" s="20"/>
      <c r="M75" s="20"/>
      <c r="N75" s="20"/>
    </row>
    <row r="76" customHeight="1" spans="1:14">
      <c r="A76" s="6"/>
      <c r="B76" s="7" t="s">
        <v>622</v>
      </c>
      <c r="C76" s="8" t="s">
        <v>27</v>
      </c>
      <c r="D76" s="9"/>
      <c r="E76" s="10">
        <v>60</v>
      </c>
      <c r="F76" s="11">
        <f t="shared" si="0"/>
        <v>2800.02</v>
      </c>
      <c r="G76" s="20">
        <f>ABS(G77-F77)</f>
        <v>3.00000000000182</v>
      </c>
      <c r="H76" s="20"/>
      <c r="I76" s="20"/>
      <c r="J76" s="20"/>
      <c r="K76" s="20"/>
      <c r="L76" s="20"/>
      <c r="M76" s="20"/>
      <c r="N76" s="20"/>
    </row>
    <row r="77" customHeight="1" spans="1:14">
      <c r="A77" s="14"/>
      <c r="B77" s="7" t="s">
        <v>742</v>
      </c>
      <c r="C77" s="8" t="s">
        <v>27</v>
      </c>
      <c r="D77" s="9"/>
      <c r="E77" s="10">
        <v>150.26</v>
      </c>
      <c r="F77" s="11">
        <f t="shared" si="0"/>
        <v>2649.76</v>
      </c>
      <c r="G77" s="11">
        <f>H77+I77+J77+K77+L77+M77+N77</f>
        <v>2652.76</v>
      </c>
      <c r="H77" s="20">
        <v>0</v>
      </c>
      <c r="I77" s="139">
        <f>1125.66-214.99</f>
        <v>910.67</v>
      </c>
      <c r="J77" s="20">
        <v>0</v>
      </c>
      <c r="K77" s="20">
        <v>0</v>
      </c>
      <c r="L77" s="20">
        <v>1494.09</v>
      </c>
      <c r="M77" s="20">
        <v>0</v>
      </c>
      <c r="N77" s="20">
        <f>200+40+5+3</f>
        <v>248</v>
      </c>
    </row>
    <row r="78" customHeight="1" spans="1:14">
      <c r="A78" s="136" t="s">
        <v>743</v>
      </c>
      <c r="B78" s="23" t="s">
        <v>744</v>
      </c>
      <c r="C78" s="24"/>
      <c r="D78" s="25">
        <v>2000</v>
      </c>
      <c r="E78" s="26"/>
      <c r="F78" s="27">
        <f t="shared" si="0"/>
        <v>4649.76</v>
      </c>
      <c r="G78" s="28"/>
      <c r="H78" s="28"/>
      <c r="I78" s="28"/>
      <c r="J78" s="28"/>
      <c r="K78" s="28"/>
      <c r="L78" s="28"/>
      <c r="M78" s="28"/>
      <c r="N78" s="28"/>
    </row>
    <row r="79" customHeight="1" spans="1:6">
      <c r="A79" s="14"/>
      <c r="B79" s="7" t="s">
        <v>745</v>
      </c>
      <c r="C79" s="8" t="s">
        <v>224</v>
      </c>
      <c r="D79" s="9"/>
      <c r="E79" s="10">
        <v>248.75</v>
      </c>
      <c r="F79" s="11">
        <f t="shared" si="0"/>
        <v>4401.01</v>
      </c>
    </row>
    <row r="80" customHeight="1" spans="1:14">
      <c r="A80" s="14"/>
      <c r="B80" s="7" t="s">
        <v>746</v>
      </c>
      <c r="C80" s="8"/>
      <c r="D80" s="9">
        <v>500</v>
      </c>
      <c r="E80" s="10"/>
      <c r="F80" s="11">
        <f t="shared" si="0"/>
        <v>4901.01</v>
      </c>
      <c r="G80" s="15"/>
      <c r="H80" s="15"/>
      <c r="I80" s="15"/>
      <c r="J80" s="15"/>
      <c r="K80" s="15"/>
      <c r="L80" s="15"/>
      <c r="M80" s="15"/>
      <c r="N80" s="15"/>
    </row>
    <row r="81" customHeight="1" spans="1:14">
      <c r="A81" s="14"/>
      <c r="B81" s="7" t="s">
        <v>747</v>
      </c>
      <c r="C81" s="8" t="s">
        <v>219</v>
      </c>
      <c r="D81" s="9"/>
      <c r="E81" s="10">
        <v>167</v>
      </c>
      <c r="F81" s="11">
        <f t="shared" si="0"/>
        <v>4734.01</v>
      </c>
      <c r="G81" s="20"/>
      <c r="H81" s="20"/>
      <c r="I81" s="20"/>
      <c r="J81" s="20"/>
      <c r="K81" s="20"/>
      <c r="L81" s="20"/>
      <c r="M81" s="20"/>
      <c r="N81" s="20"/>
    </row>
    <row r="82" customHeight="1" spans="1:14">
      <c r="A82" s="14"/>
      <c r="B82" s="149" t="s">
        <v>748</v>
      </c>
      <c r="C82" s="17" t="s">
        <v>27</v>
      </c>
      <c r="D82" s="18"/>
      <c r="E82" s="19">
        <v>311.92</v>
      </c>
      <c r="F82" s="11">
        <f t="shared" si="0"/>
        <v>4422.09</v>
      </c>
      <c r="G82" s="20"/>
      <c r="H82" s="20"/>
      <c r="I82" s="20"/>
      <c r="J82" s="20"/>
      <c r="K82" s="20"/>
      <c r="L82" s="20"/>
      <c r="M82" s="20"/>
      <c r="N82" s="20"/>
    </row>
    <row r="83" customHeight="1" spans="1:14">
      <c r="A83" s="14"/>
      <c r="B83" s="47" t="s">
        <v>37</v>
      </c>
      <c r="C83" s="8" t="s">
        <v>86</v>
      </c>
      <c r="D83" s="9"/>
      <c r="E83" s="10">
        <v>404</v>
      </c>
      <c r="F83" s="11">
        <f t="shared" si="0"/>
        <v>4018.09</v>
      </c>
      <c r="G83" s="20"/>
      <c r="H83" s="20"/>
      <c r="I83" s="20"/>
      <c r="J83" s="20"/>
      <c r="K83" s="20"/>
      <c r="L83" s="20"/>
      <c r="M83" s="20"/>
      <c r="N83" s="20"/>
    </row>
    <row r="84" customHeight="1" spans="1:14">
      <c r="A84" s="136" t="s">
        <v>749</v>
      </c>
      <c r="B84" s="162" t="s">
        <v>33</v>
      </c>
      <c r="C84" s="24" t="s">
        <v>201</v>
      </c>
      <c r="D84" s="25"/>
      <c r="E84" s="26">
        <v>210</v>
      </c>
      <c r="F84" s="27">
        <f t="shared" si="0"/>
        <v>3808.09</v>
      </c>
      <c r="G84" s="27"/>
      <c r="H84" s="38"/>
      <c r="I84" s="147"/>
      <c r="J84" s="38"/>
      <c r="K84" s="38"/>
      <c r="L84" s="38"/>
      <c r="M84" s="38"/>
      <c r="N84" s="38"/>
    </row>
    <row r="85" customHeight="1" spans="1:14">
      <c r="A85" s="14"/>
      <c r="B85" s="47" t="s">
        <v>34</v>
      </c>
      <c r="C85" s="8" t="s">
        <v>224</v>
      </c>
      <c r="D85" s="9"/>
      <c r="E85" s="10">
        <v>242</v>
      </c>
      <c r="F85" s="11">
        <f t="shared" si="0"/>
        <v>3566.09</v>
      </c>
      <c r="G85" s="15"/>
      <c r="H85" s="15"/>
      <c r="I85" s="15"/>
      <c r="J85" s="15"/>
      <c r="K85" s="15"/>
      <c r="L85" s="15"/>
      <c r="M85" s="15"/>
      <c r="N85" s="15"/>
    </row>
    <row r="86" customHeight="1" spans="1:14">
      <c r="A86" s="14"/>
      <c r="B86" s="47" t="s">
        <v>750</v>
      </c>
      <c r="C86" s="8" t="s">
        <v>201</v>
      </c>
      <c r="D86" s="9"/>
      <c r="E86" s="10">
        <v>100</v>
      </c>
      <c r="F86" s="11">
        <f t="shared" si="0"/>
        <v>3466.09</v>
      </c>
      <c r="G86" s="15"/>
      <c r="H86" s="15"/>
      <c r="I86" s="15"/>
      <c r="J86" s="15"/>
      <c r="K86" s="15"/>
      <c r="L86" s="15"/>
      <c r="M86" s="15"/>
      <c r="N86" s="15"/>
    </row>
    <row r="87" customHeight="1" spans="1:14">
      <c r="A87" s="14" t="s">
        <v>751</v>
      </c>
      <c r="B87" s="47" t="s">
        <v>411</v>
      </c>
      <c r="C87" s="8" t="s">
        <v>214</v>
      </c>
      <c r="D87" s="9"/>
      <c r="E87" s="10">
        <v>5.9</v>
      </c>
      <c r="F87" s="11">
        <f t="shared" si="0"/>
        <v>3460.19</v>
      </c>
      <c r="G87" s="15"/>
      <c r="H87" s="15"/>
      <c r="I87" s="15"/>
      <c r="J87" s="15"/>
      <c r="K87" s="15"/>
      <c r="L87" s="15"/>
      <c r="M87" s="15"/>
      <c r="N87" s="15"/>
    </row>
    <row r="88" customHeight="1" spans="1:14">
      <c r="A88" s="14"/>
      <c r="B88" s="7" t="s">
        <v>752</v>
      </c>
      <c r="C88" s="8" t="s">
        <v>219</v>
      </c>
      <c r="D88" s="9"/>
      <c r="E88" s="10">
        <v>156.14</v>
      </c>
      <c r="F88" s="11">
        <f t="shared" si="0"/>
        <v>3304.05</v>
      </c>
      <c r="G88" s="21"/>
      <c r="H88" s="15"/>
      <c r="I88" s="15"/>
      <c r="J88" s="15"/>
      <c r="K88" s="15"/>
      <c r="L88" s="15"/>
      <c r="M88" s="15"/>
      <c r="N88" s="15"/>
    </row>
    <row r="89" customHeight="1" spans="1:14">
      <c r="A89" s="14"/>
      <c r="B89" s="7" t="s">
        <v>332</v>
      </c>
      <c r="C89" s="8" t="s">
        <v>210</v>
      </c>
      <c r="D89" s="9"/>
      <c r="E89" s="10">
        <v>400</v>
      </c>
      <c r="F89" s="11">
        <f t="shared" si="0"/>
        <v>2904.05</v>
      </c>
      <c r="G89" s="15"/>
      <c r="H89" s="15"/>
      <c r="I89" s="15"/>
      <c r="J89" s="15"/>
      <c r="K89" s="15"/>
      <c r="L89" s="15"/>
      <c r="M89" s="15"/>
      <c r="N89" s="15"/>
    </row>
    <row r="90" customHeight="1" spans="1:14">
      <c r="A90" s="14" t="s">
        <v>753</v>
      </c>
      <c r="B90" s="7"/>
      <c r="C90" s="8" t="s">
        <v>219</v>
      </c>
      <c r="D90" s="9"/>
      <c r="E90" s="10">
        <v>200</v>
      </c>
      <c r="F90" s="11">
        <f t="shared" si="0"/>
        <v>2704.05</v>
      </c>
      <c r="G90" s="20"/>
      <c r="H90" s="20"/>
      <c r="I90" s="20"/>
      <c r="J90" s="20"/>
      <c r="K90" s="20"/>
      <c r="L90" s="20"/>
      <c r="M90" s="20"/>
      <c r="N90" s="20"/>
    </row>
    <row r="91" customHeight="1" spans="1:14">
      <c r="A91" s="14"/>
      <c r="B91" s="7" t="s">
        <v>268</v>
      </c>
      <c r="C91" s="8" t="s">
        <v>86</v>
      </c>
      <c r="D91" s="9"/>
      <c r="E91" s="10">
        <v>220</v>
      </c>
      <c r="F91" s="11">
        <f t="shared" si="0"/>
        <v>2484.05</v>
      </c>
      <c r="G91" s="11"/>
      <c r="H91" s="20"/>
      <c r="I91" s="20"/>
      <c r="J91" s="20"/>
      <c r="K91" s="20"/>
      <c r="L91" s="20"/>
      <c r="M91" s="20"/>
      <c r="N91" s="20"/>
    </row>
    <row r="92" customHeight="1" spans="1:14">
      <c r="A92" s="14"/>
      <c r="B92" s="7" t="s">
        <v>416</v>
      </c>
      <c r="C92" s="8" t="s">
        <v>224</v>
      </c>
      <c r="D92" s="9"/>
      <c r="E92" s="10">
        <v>204.54</v>
      </c>
      <c r="F92" s="11">
        <f t="shared" si="0"/>
        <v>2279.51</v>
      </c>
      <c r="G92" s="15"/>
      <c r="H92" s="15"/>
      <c r="I92" s="15"/>
      <c r="J92" s="15"/>
      <c r="K92" s="15"/>
      <c r="L92" s="15"/>
      <c r="M92" s="15"/>
      <c r="N92" s="15"/>
    </row>
    <row r="93" customHeight="1" spans="1:14">
      <c r="A93" s="14"/>
      <c r="B93" s="7" t="s">
        <v>754</v>
      </c>
      <c r="C93" s="8" t="s">
        <v>245</v>
      </c>
      <c r="D93" s="9"/>
      <c r="E93" s="10">
        <v>560</v>
      </c>
      <c r="F93" s="11">
        <f t="shared" si="0"/>
        <v>1719.51</v>
      </c>
      <c r="G93" s="20">
        <f>ABS(G94-F94)</f>
        <v>1.59161572810262e-12</v>
      </c>
      <c r="H93" s="20"/>
      <c r="I93" s="20"/>
      <c r="J93" s="20"/>
      <c r="K93" s="20"/>
      <c r="L93" s="20"/>
      <c r="M93" s="20"/>
      <c r="N93" s="20"/>
    </row>
    <row r="94" customHeight="1" spans="1:14">
      <c r="A94" s="14"/>
      <c r="B94" s="37" t="s">
        <v>755</v>
      </c>
      <c r="C94" s="8"/>
      <c r="D94" s="9"/>
      <c r="E94" s="160">
        <v>-35.01</v>
      </c>
      <c r="F94" s="11">
        <f t="shared" si="0"/>
        <v>1754.52</v>
      </c>
      <c r="G94" s="11">
        <f>H94+I94+J94+K94+L94+M94+N94</f>
        <v>1754.52</v>
      </c>
      <c r="H94" s="20">
        <v>0</v>
      </c>
      <c r="I94">
        <v>625.75</v>
      </c>
      <c r="J94" s="20">
        <v>0</v>
      </c>
      <c r="K94" s="20">
        <v>0</v>
      </c>
      <c r="L94" s="20">
        <v>471.77</v>
      </c>
      <c r="M94" s="20">
        <v>0</v>
      </c>
      <c r="N94" s="20">
        <f>600+40+17</f>
        <v>657</v>
      </c>
    </row>
    <row r="95" customHeight="1" spans="1:14">
      <c r="A95" s="136" t="s">
        <v>756</v>
      </c>
      <c r="B95" s="23" t="s">
        <v>757</v>
      </c>
      <c r="C95" s="24" t="s">
        <v>245</v>
      </c>
      <c r="D95" s="25"/>
      <c r="E95" s="26">
        <v>46.58</v>
      </c>
      <c r="F95" s="27">
        <f t="shared" si="0"/>
        <v>1707.94</v>
      </c>
      <c r="G95" s="63"/>
      <c r="H95" s="63"/>
      <c r="I95" s="63"/>
      <c r="J95" s="63"/>
      <c r="K95" s="63"/>
      <c r="L95" s="63"/>
      <c r="M95" s="63"/>
      <c r="N95" s="63"/>
    </row>
    <row r="96" customHeight="1" spans="1:14">
      <c r="A96" s="14"/>
      <c r="B96" s="7" t="s">
        <v>531</v>
      </c>
      <c r="C96" s="8" t="s">
        <v>224</v>
      </c>
      <c r="D96" s="9"/>
      <c r="E96" s="10">
        <v>18</v>
      </c>
      <c r="F96" s="11">
        <f t="shared" si="0"/>
        <v>1689.94</v>
      </c>
      <c r="G96" s="15"/>
      <c r="H96" s="15"/>
      <c r="I96" s="15"/>
      <c r="J96" s="15"/>
      <c r="K96" s="15"/>
      <c r="L96" s="15"/>
      <c r="M96" s="15"/>
      <c r="N96" s="15"/>
    </row>
    <row r="97" customHeight="1" spans="1:6">
      <c r="A97" s="14" t="s">
        <v>758</v>
      </c>
      <c r="B97" s="16" t="s">
        <v>759</v>
      </c>
      <c r="C97" s="17" t="s">
        <v>27</v>
      </c>
      <c r="D97" s="18"/>
      <c r="E97" s="19">
        <v>355.2</v>
      </c>
      <c r="F97" s="11">
        <f t="shared" si="0"/>
        <v>1334.74</v>
      </c>
    </row>
    <row r="98" customHeight="1" spans="1:14">
      <c r="A98" s="14"/>
      <c r="B98" s="7" t="s">
        <v>760</v>
      </c>
      <c r="C98" s="8" t="s">
        <v>224</v>
      </c>
      <c r="D98" s="9"/>
      <c r="E98" s="10">
        <v>530.29</v>
      </c>
      <c r="F98" s="11">
        <f t="shared" si="0"/>
        <v>804.449999999998</v>
      </c>
      <c r="G98" s="20">
        <f>ABS(G99-F105)</f>
        <v>677.290000000002</v>
      </c>
      <c r="H98" s="20"/>
      <c r="I98" s="20"/>
      <c r="J98" s="20"/>
      <c r="K98" s="20"/>
      <c r="L98" s="20"/>
      <c r="M98" s="20"/>
      <c r="N98" s="20"/>
    </row>
    <row r="99" customHeight="1" spans="1:14">
      <c r="A99" s="14"/>
      <c r="B99" s="7" t="s">
        <v>761</v>
      </c>
      <c r="C99" s="8" t="s">
        <v>245</v>
      </c>
      <c r="D99" s="9"/>
      <c r="E99" s="10">
        <v>147</v>
      </c>
      <c r="F99" s="11">
        <f t="shared" si="0"/>
        <v>657.449999999998</v>
      </c>
      <c r="G99" s="11">
        <f>H99+I99+J99+K99+L99+M99+N99</f>
        <v>1334.74</v>
      </c>
      <c r="H99" s="20">
        <v>0</v>
      </c>
      <c r="I99">
        <f>625.75-355.2</f>
        <v>270.55</v>
      </c>
      <c r="J99" s="20">
        <v>0</v>
      </c>
      <c r="K99" s="20">
        <v>0</v>
      </c>
      <c r="L99" s="20">
        <v>407.19</v>
      </c>
      <c r="M99" s="20">
        <v>0</v>
      </c>
      <c r="N99" s="20">
        <f>600+40+17</f>
        <v>657</v>
      </c>
    </row>
    <row r="100" customHeight="1" spans="1:14">
      <c r="A100" s="136"/>
      <c r="B100" s="23"/>
      <c r="C100" s="24"/>
      <c r="D100" s="25"/>
      <c r="E100" s="26"/>
      <c r="F100" s="27">
        <f t="shared" si="0"/>
        <v>657.449999999998</v>
      </c>
      <c r="G100" s="63"/>
      <c r="H100" s="63"/>
      <c r="I100" s="63"/>
      <c r="J100" s="63"/>
      <c r="K100" s="63"/>
      <c r="L100" s="63"/>
      <c r="M100" s="63"/>
      <c r="N100" s="63"/>
    </row>
    <row r="101" customHeight="1" spans="1:14">
      <c r="A101" s="14"/>
      <c r="B101" s="7"/>
      <c r="C101" s="8"/>
      <c r="D101" s="9"/>
      <c r="E101" s="10"/>
      <c r="F101" s="11">
        <f t="shared" si="0"/>
        <v>657.449999999998</v>
      </c>
      <c r="G101" s="12"/>
      <c r="H101" s="12"/>
      <c r="I101" s="12"/>
      <c r="J101" s="12"/>
      <c r="K101" s="12"/>
      <c r="L101" s="12"/>
      <c r="M101" s="12"/>
      <c r="N101" s="12"/>
    </row>
    <row r="102" customHeight="1" spans="1:14">
      <c r="A102" s="14"/>
      <c r="B102" s="7"/>
      <c r="C102" s="8"/>
      <c r="D102" s="9"/>
      <c r="E102" s="10"/>
      <c r="F102" s="11">
        <f t="shared" si="0"/>
        <v>657.449999999998</v>
      </c>
      <c r="G102" s="20"/>
      <c r="H102" s="20"/>
      <c r="I102" s="20"/>
      <c r="J102" s="20"/>
      <c r="K102" s="20"/>
      <c r="L102" s="20"/>
      <c r="M102" s="20"/>
      <c r="N102" s="20"/>
    </row>
    <row r="103" customHeight="1" spans="1:14">
      <c r="A103" s="14"/>
      <c r="B103" s="7"/>
      <c r="C103" s="8"/>
      <c r="D103" s="9"/>
      <c r="E103" s="10"/>
      <c r="F103" s="11">
        <f t="shared" si="0"/>
        <v>657.449999999998</v>
      </c>
      <c r="G103" s="15"/>
      <c r="H103" s="15"/>
      <c r="I103" s="15"/>
      <c r="J103" s="15"/>
      <c r="K103" s="15"/>
      <c r="L103" s="15"/>
      <c r="M103" s="15"/>
      <c r="N103" s="15"/>
    </row>
    <row r="104" customHeight="1" spans="1:6">
      <c r="A104" s="14"/>
      <c r="B104" s="7"/>
      <c r="C104" s="8"/>
      <c r="D104" s="9"/>
      <c r="E104" s="10"/>
      <c r="F104" s="11">
        <f t="shared" si="0"/>
        <v>657.449999999998</v>
      </c>
    </row>
    <row r="105" customHeight="1" spans="1:6">
      <c r="A105" s="14"/>
      <c r="B105" s="7"/>
      <c r="C105" s="8"/>
      <c r="D105" s="9"/>
      <c r="E105" s="10"/>
      <c r="F105" s="11">
        <f t="shared" si="0"/>
        <v>657.449999999998</v>
      </c>
    </row>
    <row r="106" customHeight="1" spans="1:14">
      <c r="A106" s="14"/>
      <c r="B106" s="7"/>
      <c r="C106" s="8"/>
      <c r="D106" s="9"/>
      <c r="E106" s="10"/>
      <c r="F106" s="11">
        <f t="shared" si="0"/>
        <v>657.449999999998</v>
      </c>
      <c r="G106" s="15"/>
      <c r="H106" s="15"/>
      <c r="I106" s="15"/>
      <c r="J106" s="15"/>
      <c r="K106" s="15"/>
      <c r="L106" s="15"/>
      <c r="M106" s="15"/>
      <c r="N106" s="15"/>
    </row>
    <row r="107" customHeight="1" spans="1:14">
      <c r="A107" s="14"/>
      <c r="B107" s="7"/>
      <c r="C107" s="8"/>
      <c r="D107" s="9"/>
      <c r="E107" s="10"/>
      <c r="F107" s="11">
        <f t="shared" si="0"/>
        <v>657.449999999998</v>
      </c>
      <c r="G107" s="15"/>
      <c r="H107" s="15"/>
      <c r="I107" s="15"/>
      <c r="J107" s="15"/>
      <c r="K107" s="15"/>
      <c r="L107" s="15"/>
      <c r="M107" s="15"/>
      <c r="N107" s="15"/>
    </row>
    <row r="108" customHeight="1" spans="1:14">
      <c r="A108" s="14"/>
      <c r="B108" s="7"/>
      <c r="C108" s="8"/>
      <c r="D108" s="9"/>
      <c r="E108" s="10"/>
      <c r="F108" s="11">
        <f t="shared" si="0"/>
        <v>657.449999999998</v>
      </c>
      <c r="G108" s="140"/>
      <c r="H108" s="141"/>
      <c r="I108" s="140"/>
      <c r="J108" s="140"/>
      <c r="K108" s="140"/>
      <c r="L108" s="140"/>
      <c r="M108" s="140"/>
      <c r="N108" s="15"/>
    </row>
    <row r="109" customHeight="1" spans="1:14">
      <c r="A109" s="14"/>
      <c r="B109" s="7"/>
      <c r="C109" s="8"/>
      <c r="D109" s="9"/>
      <c r="E109" s="10"/>
      <c r="F109" s="11">
        <f t="shared" si="0"/>
        <v>657.449999999998</v>
      </c>
      <c r="G109" s="12"/>
      <c r="H109" s="12"/>
      <c r="I109" s="12"/>
      <c r="J109" s="64"/>
      <c r="K109" s="12"/>
      <c r="L109" s="12"/>
      <c r="M109" s="12"/>
      <c r="N109" s="12"/>
    </row>
    <row r="110" customHeight="1" spans="1:14">
      <c r="A110" s="14"/>
      <c r="B110" s="7"/>
      <c r="C110" s="8"/>
      <c r="D110" s="9"/>
      <c r="E110" s="10"/>
      <c r="F110" s="11">
        <f t="shared" si="0"/>
        <v>657.449999999998</v>
      </c>
      <c r="G110" s="142"/>
      <c r="H110" s="143"/>
      <c r="I110" s="143"/>
      <c r="J110" s="143"/>
      <c r="K110" s="143"/>
      <c r="L110" s="143"/>
      <c r="M110" s="143"/>
      <c r="N110" s="142"/>
    </row>
    <row r="111" customHeight="1" spans="1:14">
      <c r="A111" s="14"/>
      <c r="B111" s="7"/>
      <c r="C111" s="8"/>
      <c r="D111" s="9"/>
      <c r="E111" s="10"/>
      <c r="F111" s="11">
        <f t="shared" si="0"/>
        <v>657.449999999998</v>
      </c>
      <c r="G111" s="142"/>
      <c r="H111" s="143"/>
      <c r="I111" s="143"/>
      <c r="J111" s="143"/>
      <c r="K111" s="143"/>
      <c r="L111" s="143"/>
      <c r="M111" s="143"/>
      <c r="N111" s="142"/>
    </row>
    <row r="112" customHeight="1" spans="1:14">
      <c r="A112" s="14"/>
      <c r="B112" s="7"/>
      <c r="C112" s="8"/>
      <c r="D112" s="9"/>
      <c r="E112" s="10"/>
      <c r="F112" s="11">
        <f t="shared" si="0"/>
        <v>657.449999999998</v>
      </c>
      <c r="G112" s="12"/>
      <c r="H112" s="12"/>
      <c r="I112" s="12"/>
      <c r="J112" s="12"/>
      <c r="K112" s="12"/>
      <c r="L112" s="12"/>
      <c r="M112" s="12"/>
      <c r="N112" s="12"/>
    </row>
    <row r="113" customHeight="1" spans="1:14">
      <c r="A113" s="14"/>
      <c r="B113" s="7"/>
      <c r="C113" s="8"/>
      <c r="D113" s="9"/>
      <c r="E113" s="10"/>
      <c r="F113" s="11">
        <f t="shared" si="0"/>
        <v>657.449999999998</v>
      </c>
      <c r="G113" s="21"/>
      <c r="H113" s="15"/>
      <c r="I113" s="13"/>
      <c r="J113" s="15"/>
      <c r="K113" s="15"/>
      <c r="L113" s="20"/>
      <c r="M113" s="15"/>
      <c r="N113" s="15"/>
    </row>
    <row r="114" customHeight="1" spans="1:14">
      <c r="A114" s="14"/>
      <c r="B114" s="7"/>
      <c r="C114" s="8"/>
      <c r="D114" s="9"/>
      <c r="E114" s="10"/>
      <c r="F114" s="11">
        <f t="shared" si="0"/>
        <v>657.449999999998</v>
      </c>
      <c r="G114" s="12"/>
      <c r="H114" s="13"/>
      <c r="I114" s="13"/>
      <c r="J114" s="13"/>
      <c r="K114" s="13"/>
      <c r="L114" s="13"/>
      <c r="M114" s="13"/>
      <c r="N114" s="13"/>
    </row>
    <row r="115" customHeight="1" spans="1:14">
      <c r="A115" s="14"/>
      <c r="B115" s="7"/>
      <c r="C115" s="8"/>
      <c r="D115" s="9"/>
      <c r="E115" s="10"/>
      <c r="F115" s="11">
        <f t="shared" si="0"/>
        <v>657.449999999998</v>
      </c>
      <c r="G115" s="20"/>
      <c r="H115" s="20"/>
      <c r="I115" s="20"/>
      <c r="J115" s="20"/>
      <c r="K115" s="20"/>
      <c r="L115" s="20"/>
      <c r="M115" s="20"/>
      <c r="N115" s="20"/>
    </row>
    <row r="116" customHeight="1" spans="1:14">
      <c r="A116" s="14"/>
      <c r="B116" s="7"/>
      <c r="C116" s="8"/>
      <c r="D116" s="9"/>
      <c r="E116" s="10"/>
      <c r="F116" s="11">
        <f t="shared" si="0"/>
        <v>657.449999999998</v>
      </c>
      <c r="G116" s="11"/>
      <c r="H116" s="20"/>
      <c r="I116" s="20"/>
      <c r="J116" s="20"/>
      <c r="K116" s="20"/>
      <c r="L116" s="20"/>
      <c r="M116" s="20"/>
      <c r="N116" s="20"/>
    </row>
    <row r="117" customHeight="1" spans="1:14">
      <c r="A117" s="14"/>
      <c r="B117" s="7"/>
      <c r="C117" s="8"/>
      <c r="D117" s="9"/>
      <c r="E117" s="10"/>
      <c r="F117" s="11">
        <f t="shared" si="0"/>
        <v>657.449999999998</v>
      </c>
      <c r="G117" s="12"/>
      <c r="H117" s="12"/>
      <c r="I117" s="12"/>
      <c r="J117" s="12"/>
      <c r="K117" s="12"/>
      <c r="L117" s="12"/>
      <c r="M117" s="12"/>
      <c r="N117" s="12"/>
    </row>
    <row r="118" customHeight="1" spans="1:14">
      <c r="A118" s="14"/>
      <c r="B118" s="7"/>
      <c r="C118" s="8"/>
      <c r="D118" s="9"/>
      <c r="E118" s="10"/>
      <c r="F118" s="11">
        <f t="shared" si="0"/>
        <v>657.449999999998</v>
      </c>
      <c r="G118" s="20"/>
      <c r="H118" s="20"/>
      <c r="I118" s="20"/>
      <c r="J118" s="20"/>
      <c r="K118" s="20"/>
      <c r="L118" s="20"/>
      <c r="M118" s="20"/>
      <c r="N118" s="20"/>
    </row>
    <row r="119" customHeight="1" spans="1:14">
      <c r="A119" s="14"/>
      <c r="B119" s="7"/>
      <c r="C119" s="8"/>
      <c r="D119" s="9"/>
      <c r="E119" s="10"/>
      <c r="F119" s="11">
        <f t="shared" si="0"/>
        <v>657.449999999998</v>
      </c>
      <c r="G119" s="11"/>
      <c r="H119" s="20"/>
      <c r="I119" s="13"/>
      <c r="J119" s="20"/>
      <c r="K119" s="20"/>
      <c r="L119" s="20"/>
      <c r="M119" s="20"/>
      <c r="N119" s="20"/>
    </row>
    <row r="120" customHeight="1" spans="1:14">
      <c r="A120" s="14"/>
      <c r="B120" s="7"/>
      <c r="C120" s="8"/>
      <c r="D120" s="9"/>
      <c r="E120" s="10"/>
      <c r="F120" s="11">
        <f t="shared" si="0"/>
        <v>657.449999999998</v>
      </c>
      <c r="G120" s="12"/>
      <c r="H120" s="12"/>
      <c r="I120" s="12"/>
      <c r="J120" s="12"/>
      <c r="K120" s="12"/>
      <c r="L120" s="12"/>
      <c r="M120" s="12"/>
      <c r="N120" s="12"/>
    </row>
    <row r="121" customHeight="1" spans="1:14">
      <c r="A121" s="117"/>
      <c r="B121" s="74"/>
      <c r="C121" s="75"/>
      <c r="D121" s="76"/>
      <c r="E121" s="78"/>
      <c r="F121" s="79">
        <f t="shared" si="0"/>
        <v>657.449999999998</v>
      </c>
      <c r="G121" s="124"/>
      <c r="H121" s="125"/>
      <c r="I121" s="125"/>
      <c r="J121" s="125"/>
      <c r="K121" s="125"/>
      <c r="L121" s="125"/>
      <c r="M121" s="125"/>
      <c r="N121" s="124"/>
    </row>
    <row r="122" customHeight="1" spans="1:14">
      <c r="A122" s="117"/>
      <c r="B122" s="74"/>
      <c r="C122" s="75"/>
      <c r="D122" s="76"/>
      <c r="E122" s="78"/>
      <c r="F122" s="79">
        <f t="shared" si="0"/>
        <v>657.449999999998</v>
      </c>
      <c r="G122" s="77"/>
      <c r="H122" s="77"/>
      <c r="I122" s="77"/>
      <c r="J122" s="77"/>
      <c r="K122" s="77"/>
      <c r="L122" s="110"/>
      <c r="M122" s="77"/>
      <c r="N122" s="77"/>
    </row>
    <row r="123" customHeight="1" spans="1:14">
      <c r="A123" s="117"/>
      <c r="B123" s="74"/>
      <c r="C123" s="75"/>
      <c r="D123" s="76"/>
      <c r="E123" s="78"/>
      <c r="F123" s="79">
        <f t="shared" si="0"/>
        <v>657.449999999998</v>
      </c>
      <c r="G123" s="110"/>
      <c r="H123" s="110"/>
      <c r="I123" s="110"/>
      <c r="J123" s="110"/>
      <c r="K123" s="110"/>
      <c r="L123" s="110"/>
      <c r="M123" s="110"/>
      <c r="N123" s="110"/>
    </row>
    <row r="124" customHeight="1" spans="1:14">
      <c r="A124" s="117"/>
      <c r="B124" s="74"/>
      <c r="C124" s="75"/>
      <c r="D124" s="76"/>
      <c r="E124" s="78"/>
      <c r="F124" s="79">
        <f t="shared" si="0"/>
        <v>657.449999999998</v>
      </c>
      <c r="G124" s="110"/>
      <c r="H124" s="110"/>
      <c r="I124" s="110"/>
      <c r="J124" s="110"/>
      <c r="K124" s="110"/>
      <c r="L124" s="110"/>
      <c r="M124" s="110"/>
      <c r="N124" s="110"/>
    </row>
    <row r="125" customHeight="1" spans="1:14">
      <c r="A125" s="117"/>
      <c r="B125" s="74"/>
      <c r="C125" s="75"/>
      <c r="D125" s="76"/>
      <c r="E125" s="78"/>
      <c r="F125" s="79">
        <f t="shared" si="0"/>
        <v>657.449999999998</v>
      </c>
      <c r="G125" s="158"/>
      <c r="H125" s="158"/>
      <c r="I125" s="158"/>
      <c r="J125" s="158"/>
      <c r="K125" s="158"/>
      <c r="L125" s="158"/>
      <c r="M125" s="158"/>
      <c r="N125" s="105"/>
    </row>
    <row r="126" customHeight="1" spans="1:14">
      <c r="A126" s="117"/>
      <c r="B126" s="74"/>
      <c r="C126" s="75"/>
      <c r="D126" s="76"/>
      <c r="E126" s="78"/>
      <c r="F126" s="79">
        <f t="shared" si="0"/>
        <v>657.449999999998</v>
      </c>
      <c r="G126" s="158"/>
      <c r="H126" s="158"/>
      <c r="I126" s="158"/>
      <c r="J126" s="158"/>
      <c r="K126" s="158"/>
      <c r="L126" s="158"/>
      <c r="M126" s="158"/>
      <c r="N126" s="158"/>
    </row>
    <row r="127" customHeight="1" spans="1:14">
      <c r="A127" s="117"/>
      <c r="B127" s="74"/>
      <c r="C127" s="75"/>
      <c r="D127" s="76"/>
      <c r="E127" s="78"/>
      <c r="F127" s="79">
        <f t="shared" si="0"/>
        <v>657.449999999998</v>
      </c>
      <c r="G127" s="158"/>
      <c r="H127" s="158"/>
      <c r="I127" s="158"/>
      <c r="J127" s="158"/>
      <c r="K127" s="158"/>
      <c r="L127" s="158"/>
      <c r="M127" s="158"/>
      <c r="N127" s="158"/>
    </row>
    <row r="128" customHeight="1" spans="1:14">
      <c r="A128" s="117"/>
      <c r="B128" s="74"/>
      <c r="C128" s="75"/>
      <c r="D128" s="76"/>
      <c r="E128" s="78"/>
      <c r="F128" s="79"/>
      <c r="G128" s="110"/>
      <c r="H128" s="110"/>
      <c r="I128" s="110"/>
      <c r="J128" s="110"/>
      <c r="K128" s="110"/>
      <c r="L128" s="110"/>
      <c r="M128" s="110"/>
      <c r="N128" s="110"/>
    </row>
    <row r="129" customHeight="1" spans="1:14">
      <c r="A129" s="117"/>
      <c r="B129" s="74"/>
      <c r="C129" s="75"/>
      <c r="D129" s="76"/>
      <c r="E129" s="78"/>
      <c r="F129" s="79"/>
      <c r="G129" s="110"/>
      <c r="H129" s="110"/>
      <c r="I129" s="110"/>
      <c r="J129" s="110"/>
      <c r="K129" s="110"/>
      <c r="L129" s="110"/>
      <c r="M129" s="110"/>
      <c r="N129" s="110"/>
    </row>
    <row r="130" customHeight="1" spans="1:14">
      <c r="A130" s="117"/>
      <c r="B130" s="74"/>
      <c r="C130" s="75"/>
      <c r="D130" s="76"/>
      <c r="E130" s="78"/>
      <c r="F130" s="79"/>
      <c r="G130" s="118"/>
      <c r="H130" s="158"/>
      <c r="I130" s="105"/>
      <c r="J130" s="158"/>
      <c r="K130" s="158"/>
      <c r="L130" s="77"/>
      <c r="M130" s="158"/>
      <c r="N130" s="158"/>
    </row>
    <row r="131" customHeight="1" spans="1:14">
      <c r="A131" s="117"/>
      <c r="B131" s="74"/>
      <c r="C131" s="75"/>
      <c r="D131" s="76"/>
      <c r="E131" s="78"/>
      <c r="F131" s="79"/>
      <c r="G131" s="158"/>
      <c r="H131" s="158"/>
      <c r="I131" s="158"/>
      <c r="J131" s="158"/>
      <c r="K131" s="158"/>
      <c r="L131" s="158"/>
      <c r="M131" s="158"/>
      <c r="N131" s="158"/>
    </row>
    <row r="132" customHeight="1" spans="1:14">
      <c r="A132" s="117"/>
      <c r="B132" s="74"/>
      <c r="C132" s="75"/>
      <c r="D132" s="76"/>
      <c r="E132" s="78"/>
      <c r="F132" s="79"/>
      <c r="G132" s="77"/>
      <c r="H132" s="77"/>
      <c r="I132" s="77"/>
      <c r="J132" s="77"/>
      <c r="K132" s="77"/>
      <c r="L132" s="110"/>
      <c r="M132" s="77"/>
      <c r="N132" s="77"/>
    </row>
    <row r="133" customHeight="1" spans="1:14">
      <c r="A133" s="117"/>
      <c r="B133" s="74"/>
      <c r="C133" s="75"/>
      <c r="D133" s="76"/>
      <c r="E133" s="78"/>
      <c r="F133" s="79"/>
      <c r="G133" s="110"/>
      <c r="H133" s="110"/>
      <c r="I133" s="110"/>
      <c r="J133" s="110"/>
      <c r="K133" s="110"/>
      <c r="L133" s="110"/>
      <c r="M133" s="110"/>
      <c r="N133" s="110"/>
    </row>
    <row r="134" customHeight="1" spans="1:14">
      <c r="A134" s="117"/>
      <c r="B134" s="74"/>
      <c r="C134" s="75"/>
      <c r="D134" s="76"/>
      <c r="E134" s="78"/>
      <c r="F134" s="79"/>
      <c r="G134" s="110"/>
      <c r="H134" s="110"/>
      <c r="I134" s="110"/>
      <c r="J134" s="110"/>
      <c r="K134" s="110"/>
      <c r="L134" s="110"/>
      <c r="M134" s="110"/>
      <c r="N134" s="110"/>
    </row>
    <row r="135" customHeight="1" spans="1:14">
      <c r="A135" s="117"/>
      <c r="B135" s="74"/>
      <c r="C135" s="75"/>
      <c r="D135" s="76"/>
      <c r="E135" s="78"/>
      <c r="F135" s="79"/>
      <c r="G135" s="110"/>
      <c r="H135" s="110"/>
      <c r="I135" s="110"/>
      <c r="J135" s="110"/>
      <c r="K135" s="110"/>
      <c r="L135" s="110"/>
      <c r="M135" s="110"/>
      <c r="N135" s="110"/>
    </row>
    <row r="136" customHeight="1" spans="1:14">
      <c r="A136" s="117"/>
      <c r="B136" s="74"/>
      <c r="C136" s="75"/>
      <c r="D136" s="76"/>
      <c r="E136" s="78"/>
      <c r="F136" s="79"/>
      <c r="G136" s="118"/>
      <c r="H136" s="158"/>
      <c r="I136" s="105"/>
      <c r="J136" s="158"/>
      <c r="K136" s="158"/>
      <c r="L136" s="77"/>
      <c r="M136" s="158"/>
      <c r="N136" s="158"/>
    </row>
    <row r="137" customHeight="1" spans="1:14">
      <c r="A137" s="117"/>
      <c r="B137" s="74"/>
      <c r="C137" s="75"/>
      <c r="D137" s="76"/>
      <c r="E137" s="78"/>
      <c r="F137" s="79"/>
      <c r="G137" s="110"/>
      <c r="H137" s="105"/>
      <c r="I137" s="105"/>
      <c r="J137" s="105"/>
      <c r="K137" s="105"/>
      <c r="L137" s="105"/>
      <c r="M137" s="105"/>
      <c r="N137" s="105"/>
    </row>
    <row r="138" customHeight="1" spans="1:14">
      <c r="A138" s="117"/>
      <c r="B138" s="74"/>
      <c r="C138" s="75"/>
      <c r="D138" s="76"/>
      <c r="E138" s="78"/>
      <c r="F138" s="79"/>
      <c r="G138" s="77"/>
      <c r="H138" s="77"/>
      <c r="I138" s="77"/>
      <c r="J138" s="77"/>
      <c r="K138" s="77"/>
      <c r="L138" s="110"/>
      <c r="M138" s="77"/>
      <c r="N138" s="77"/>
    </row>
    <row r="139" customHeight="1" spans="1:14">
      <c r="A139" s="117"/>
      <c r="B139" s="74"/>
      <c r="C139" s="75"/>
      <c r="D139" s="76"/>
      <c r="E139" s="78"/>
      <c r="F139" s="79"/>
      <c r="G139" s="124"/>
      <c r="H139" s="125"/>
      <c r="I139" s="125"/>
      <c r="J139" s="125"/>
      <c r="K139" s="125"/>
      <c r="L139" s="125"/>
      <c r="M139" s="125"/>
      <c r="N139" s="125"/>
    </row>
    <row r="140" customHeight="1" spans="1:14">
      <c r="A140" s="117"/>
      <c r="B140" s="74"/>
      <c r="C140" s="75"/>
      <c r="D140" s="76"/>
      <c r="E140" s="78"/>
      <c r="F140" s="79"/>
      <c r="G140" s="110"/>
      <c r="H140" s="110"/>
      <c r="I140" s="110"/>
      <c r="J140" s="110"/>
      <c r="K140" s="110"/>
      <c r="L140" s="110"/>
      <c r="M140" s="110"/>
      <c r="N140" s="110"/>
    </row>
    <row r="141" customHeight="1" spans="1:14">
      <c r="A141" s="117"/>
      <c r="B141" s="74"/>
      <c r="C141" s="75"/>
      <c r="D141" s="76"/>
      <c r="E141" s="78"/>
      <c r="F141" s="79"/>
      <c r="G141" s="110"/>
      <c r="H141" s="110"/>
      <c r="I141" s="110"/>
      <c r="J141" s="110"/>
      <c r="K141" s="110"/>
      <c r="L141" s="110"/>
      <c r="M141" s="110"/>
      <c r="N141" s="110"/>
    </row>
    <row r="142" customHeight="1" spans="1:14">
      <c r="A142" s="117"/>
      <c r="B142" s="74"/>
      <c r="C142" s="75"/>
      <c r="D142" s="76"/>
      <c r="E142" s="78"/>
      <c r="F142" s="79"/>
      <c r="G142" s="110"/>
      <c r="H142" s="110"/>
      <c r="I142" s="110"/>
      <c r="J142" s="110"/>
      <c r="K142" s="110"/>
      <c r="L142" s="110"/>
      <c r="M142" s="110"/>
      <c r="N142" s="110"/>
    </row>
    <row r="143" customHeight="1" spans="1:14">
      <c r="A143" s="117"/>
      <c r="B143" s="74"/>
      <c r="C143" s="75"/>
      <c r="D143" s="76"/>
      <c r="E143" s="78"/>
      <c r="F143" s="79"/>
      <c r="G143" s="110"/>
      <c r="H143" s="110"/>
      <c r="I143" s="110"/>
      <c r="J143" s="110"/>
      <c r="K143" s="110"/>
      <c r="L143" s="110"/>
      <c r="M143" s="110"/>
      <c r="N143" s="110"/>
    </row>
    <row r="144" customHeight="1" spans="1:14">
      <c r="A144" s="117"/>
      <c r="B144" s="74"/>
      <c r="C144" s="75"/>
      <c r="D144" s="76"/>
      <c r="E144" s="78"/>
      <c r="F144" s="79"/>
      <c r="G144" s="110"/>
      <c r="H144" s="110"/>
      <c r="I144" s="110"/>
      <c r="J144" s="110"/>
      <c r="K144" s="110"/>
      <c r="L144" s="110"/>
      <c r="M144" s="110"/>
      <c r="N144" s="110"/>
    </row>
    <row r="145" customHeight="1" spans="1:14">
      <c r="A145" s="117"/>
      <c r="B145" s="74"/>
      <c r="C145" s="75"/>
      <c r="D145" s="76"/>
      <c r="E145" s="78"/>
      <c r="F145" s="79"/>
      <c r="G145" s="110"/>
      <c r="H145" s="110"/>
      <c r="I145" s="110"/>
      <c r="J145" s="110"/>
      <c r="K145" s="110"/>
      <c r="L145" s="110"/>
      <c r="M145" s="110"/>
      <c r="N145" s="110"/>
    </row>
    <row r="146" customHeight="1" spans="1:14">
      <c r="A146" s="117"/>
      <c r="B146" s="74"/>
      <c r="C146" s="75"/>
      <c r="D146" s="76"/>
      <c r="E146" s="78"/>
      <c r="F146" s="79"/>
      <c r="G146" s="110"/>
      <c r="H146" s="110"/>
      <c r="I146" s="110"/>
      <c r="J146" s="110"/>
      <c r="K146" s="110"/>
      <c r="L146" s="110"/>
      <c r="M146" s="110"/>
      <c r="N146" s="110"/>
    </row>
    <row r="147" customHeight="1" spans="1:14">
      <c r="A147" s="117"/>
      <c r="B147" s="74"/>
      <c r="C147" s="75"/>
      <c r="D147" s="76"/>
      <c r="E147" s="78"/>
      <c r="F147" s="79"/>
      <c r="G147" s="77"/>
      <c r="H147" s="77"/>
      <c r="I147" s="77"/>
      <c r="J147" s="77"/>
      <c r="K147" s="77"/>
      <c r="L147" s="110"/>
      <c r="M147" s="77"/>
      <c r="N147" s="77"/>
    </row>
    <row r="148" customHeight="1" spans="1:14">
      <c r="A148" s="117"/>
      <c r="B148" s="74"/>
      <c r="C148" s="75"/>
      <c r="D148" s="76"/>
      <c r="E148" s="78"/>
      <c r="F148" s="79"/>
      <c r="G148" s="77"/>
      <c r="H148" s="77"/>
      <c r="I148" s="77"/>
      <c r="J148" s="77"/>
      <c r="K148" s="77"/>
      <c r="L148" s="110"/>
      <c r="M148" s="77"/>
      <c r="N148" s="77"/>
    </row>
    <row r="149" customHeight="1" spans="1:14">
      <c r="A149" s="117"/>
      <c r="B149" s="74"/>
      <c r="C149" s="75"/>
      <c r="D149" s="76"/>
      <c r="E149" s="78"/>
      <c r="F149" s="79"/>
      <c r="G149" s="158"/>
      <c r="H149" s="158"/>
      <c r="I149" s="158"/>
      <c r="J149" s="158"/>
      <c r="K149" s="158"/>
      <c r="L149" s="158"/>
      <c r="M149" s="158"/>
      <c r="N149" s="158"/>
    </row>
    <row r="150" customHeight="1" spans="1:14">
      <c r="A150" s="117"/>
      <c r="B150" s="74"/>
      <c r="C150" s="75"/>
      <c r="D150" s="76"/>
      <c r="E150" s="78"/>
      <c r="F150" s="79"/>
      <c r="G150" s="158"/>
      <c r="H150" s="158"/>
      <c r="I150" s="158"/>
      <c r="J150" s="158"/>
      <c r="K150" s="158"/>
      <c r="L150" s="158"/>
      <c r="M150" s="158"/>
      <c r="N150" s="158"/>
    </row>
    <row r="151" customHeight="1" spans="1:14">
      <c r="A151" s="117"/>
      <c r="B151" s="74"/>
      <c r="C151" s="75"/>
      <c r="D151" s="76"/>
      <c r="E151" s="78"/>
      <c r="F151" s="79"/>
      <c r="G151" s="158"/>
      <c r="H151" s="158"/>
      <c r="I151" s="158"/>
      <c r="J151" s="158"/>
      <c r="K151" s="158"/>
      <c r="L151" s="158"/>
      <c r="M151" s="158"/>
      <c r="N151" s="158"/>
    </row>
    <row r="152" customHeight="1" spans="1:14">
      <c r="A152" s="117"/>
      <c r="B152" s="74"/>
      <c r="C152" s="75"/>
      <c r="D152" s="76"/>
      <c r="E152" s="78"/>
      <c r="F152" s="77"/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17"/>
      <c r="B153" s="74"/>
      <c r="C153" s="75"/>
      <c r="D153" s="76"/>
      <c r="E153" s="78"/>
      <c r="F153" s="77"/>
      <c r="G153" s="110"/>
      <c r="H153" s="110"/>
      <c r="I153" s="110"/>
      <c r="J153" s="110"/>
      <c r="K153" s="110"/>
      <c r="L153" s="110"/>
      <c r="M153" s="110"/>
      <c r="N153" s="110"/>
    </row>
    <row r="154" customHeight="1" spans="1:14">
      <c r="A154" s="117"/>
      <c r="B154" s="74"/>
      <c r="C154" s="75"/>
      <c r="D154" s="76"/>
      <c r="E154" s="78"/>
      <c r="F154" s="77"/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17"/>
      <c r="B155" s="74"/>
      <c r="C155" s="75"/>
      <c r="D155" s="76"/>
      <c r="E155" s="78"/>
      <c r="F155" s="77"/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17"/>
      <c r="B156" s="74"/>
      <c r="C156" s="75"/>
      <c r="D156" s="76"/>
      <c r="E156" s="78"/>
      <c r="F156" s="77"/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17"/>
      <c r="B157" s="74"/>
      <c r="C157" s="75"/>
      <c r="D157" s="76"/>
      <c r="E157" s="78"/>
      <c r="F157" s="77"/>
      <c r="G157" s="77"/>
      <c r="H157" s="77"/>
      <c r="I157" s="77"/>
      <c r="J157" s="77"/>
      <c r="K157" s="77"/>
      <c r="L157" s="110"/>
      <c r="M157" s="77"/>
      <c r="N157" s="77"/>
    </row>
    <row r="158" customHeight="1" spans="1:14">
      <c r="A158" s="117"/>
      <c r="B158" s="74"/>
      <c r="C158" s="75"/>
      <c r="D158" s="76"/>
      <c r="E158" s="78"/>
      <c r="F158" s="77"/>
      <c r="G158" s="110"/>
      <c r="H158" s="110"/>
      <c r="I158" s="110"/>
      <c r="J158" s="110"/>
      <c r="K158" s="110"/>
      <c r="L158" s="110"/>
      <c r="M158" s="110"/>
      <c r="N158" s="110"/>
    </row>
    <row r="159" customHeight="1" spans="1:14">
      <c r="A159" s="117"/>
      <c r="B159" s="74"/>
      <c r="C159" s="75"/>
      <c r="D159" s="76"/>
      <c r="E159" s="78"/>
      <c r="F159" s="77"/>
      <c r="G159" s="110"/>
      <c r="H159" s="110"/>
      <c r="I159" s="110"/>
      <c r="J159" s="110"/>
      <c r="K159" s="110"/>
      <c r="L159" s="110"/>
      <c r="M159" s="110"/>
      <c r="N159" s="110"/>
    </row>
    <row r="160" customHeight="1" spans="1:14">
      <c r="A160" s="117"/>
      <c r="B160" s="74"/>
      <c r="C160" s="75"/>
      <c r="D160" s="76"/>
      <c r="E160" s="78"/>
      <c r="F160" s="77"/>
      <c r="G160" s="110"/>
      <c r="H160" s="110"/>
      <c r="I160" s="110"/>
      <c r="J160" s="110"/>
      <c r="K160" s="110"/>
      <c r="L160" s="110"/>
      <c r="M160" s="110"/>
      <c r="N160" s="110"/>
    </row>
    <row r="161" customHeight="1" spans="1:14">
      <c r="A161" s="117"/>
      <c r="B161" s="74"/>
      <c r="C161" s="75"/>
      <c r="D161" s="76"/>
      <c r="E161" s="78"/>
      <c r="F161" s="77"/>
      <c r="G161" s="110"/>
      <c r="H161" s="110"/>
      <c r="I161" s="110"/>
      <c r="J161" s="110"/>
      <c r="K161" s="110"/>
      <c r="L161" s="110"/>
      <c r="M161" s="110"/>
      <c r="N161" s="110"/>
    </row>
    <row r="162" customHeight="1" spans="1:14">
      <c r="A162" s="117"/>
      <c r="B162" s="74"/>
      <c r="C162" s="75"/>
      <c r="D162" s="76"/>
      <c r="E162" s="78"/>
      <c r="F162" s="77"/>
      <c r="G162" s="110"/>
      <c r="H162" s="110"/>
      <c r="I162" s="110"/>
      <c r="J162" s="110"/>
      <c r="K162" s="110"/>
      <c r="L162" s="110"/>
      <c r="M162" s="110"/>
      <c r="N162" s="110"/>
    </row>
    <row r="163" customHeight="1" spans="1:14">
      <c r="A163" s="117"/>
      <c r="B163" s="74"/>
      <c r="C163" s="75"/>
      <c r="D163" s="76"/>
      <c r="E163" s="78"/>
      <c r="F163" s="77"/>
      <c r="G163" s="110"/>
      <c r="H163" s="110"/>
      <c r="I163" s="110"/>
      <c r="J163" s="110"/>
      <c r="K163" s="110"/>
      <c r="L163" s="110"/>
      <c r="M163" s="110"/>
      <c r="N163" s="110"/>
    </row>
    <row r="164" customHeight="1" spans="1:14">
      <c r="A164" s="117"/>
      <c r="B164" s="74"/>
      <c r="C164" s="75"/>
      <c r="D164" s="76"/>
      <c r="E164" s="78"/>
      <c r="F164" s="77"/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17"/>
      <c r="B165" s="74"/>
      <c r="C165" s="75"/>
      <c r="D165" s="76"/>
      <c r="E165" s="78"/>
      <c r="F165" s="77"/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17"/>
      <c r="B166" s="74"/>
      <c r="C166" s="75"/>
      <c r="D166" s="76"/>
      <c r="E166" s="78"/>
      <c r="F166" s="77"/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4">
      <c r="A167" s="117"/>
      <c r="B167" s="74"/>
      <c r="C167" s="75"/>
      <c r="D167" s="76"/>
      <c r="E167" s="78"/>
      <c r="F167" s="77"/>
      <c r="G167" s="110"/>
      <c r="H167" s="110"/>
      <c r="I167" s="110"/>
      <c r="J167" s="110"/>
      <c r="K167" s="110"/>
      <c r="L167" s="110"/>
      <c r="M167" s="110"/>
      <c r="N167" s="110"/>
    </row>
    <row r="168" customHeight="1" spans="1:14">
      <c r="A168" s="117"/>
      <c r="B168" s="74"/>
      <c r="C168" s="75"/>
      <c r="D168" s="76"/>
      <c r="E168" s="78"/>
      <c r="F168" s="77"/>
      <c r="G168" s="110"/>
      <c r="H168" s="110"/>
      <c r="I168" s="110"/>
      <c r="J168" s="110"/>
      <c r="K168" s="110"/>
      <c r="L168" s="110"/>
      <c r="M168" s="110"/>
      <c r="N168" s="110"/>
    </row>
    <row r="169" customHeight="1" spans="1:14">
      <c r="A169" s="117"/>
      <c r="B169" s="74"/>
      <c r="C169" s="75"/>
      <c r="D169" s="76"/>
      <c r="E169" s="78"/>
      <c r="F169" s="77"/>
      <c r="G169" s="110"/>
      <c r="H169" s="110"/>
      <c r="I169" s="110"/>
      <c r="J169" s="110"/>
      <c r="K169" s="110"/>
      <c r="L169" s="110"/>
      <c r="M169" s="110"/>
      <c r="N169" s="110"/>
    </row>
    <row r="170" customHeight="1" spans="1:14">
      <c r="A170" s="117"/>
      <c r="B170" s="74"/>
      <c r="C170" s="75"/>
      <c r="D170" s="76"/>
      <c r="E170" s="78"/>
      <c r="F170" s="77"/>
      <c r="G170" s="110"/>
      <c r="H170" s="110"/>
      <c r="I170" s="110"/>
      <c r="J170" s="110"/>
      <c r="K170" s="110"/>
      <c r="L170" s="110"/>
      <c r="M170" s="110"/>
      <c r="N170" s="110"/>
    </row>
    <row r="171" customHeight="1" spans="1:14">
      <c r="A171" s="117"/>
      <c r="B171" s="74"/>
      <c r="C171" s="75"/>
      <c r="D171" s="76"/>
      <c r="E171" s="78"/>
      <c r="F171" s="77"/>
      <c r="G171" s="110"/>
      <c r="H171" s="110"/>
      <c r="I171" s="110"/>
      <c r="J171" s="110"/>
      <c r="K171" s="110"/>
      <c r="L171" s="110"/>
      <c r="M171" s="110"/>
      <c r="N171" s="110"/>
    </row>
    <row r="172" customHeight="1" spans="1:14">
      <c r="A172" s="117"/>
      <c r="B172" s="74"/>
      <c r="C172" s="75"/>
      <c r="D172" s="76"/>
      <c r="E172" s="78"/>
      <c r="F172" s="77"/>
      <c r="G172" s="110"/>
      <c r="H172" s="110"/>
      <c r="I172" s="110"/>
      <c r="J172" s="110"/>
      <c r="K172" s="110"/>
      <c r="L172" s="110"/>
      <c r="M172" s="110"/>
      <c r="N172" s="110"/>
    </row>
    <row r="173" customHeight="1" spans="1:14">
      <c r="A173" s="117"/>
      <c r="B173" s="74"/>
      <c r="C173" s="75"/>
      <c r="D173" s="76"/>
      <c r="E173" s="78"/>
      <c r="F173" s="77"/>
      <c r="G173" s="110"/>
      <c r="H173" s="110"/>
      <c r="I173" s="110"/>
      <c r="J173" s="110"/>
      <c r="K173" s="110"/>
      <c r="L173" s="110"/>
      <c r="M173" s="110"/>
      <c r="N173" s="110"/>
    </row>
    <row r="174" customHeight="1" spans="1:14">
      <c r="A174" s="117"/>
      <c r="B174" s="74"/>
      <c r="C174" s="75"/>
      <c r="D174" s="76"/>
      <c r="E174" s="78"/>
      <c r="F174" s="77"/>
      <c r="G174" s="110"/>
      <c r="H174" s="110"/>
      <c r="I174" s="110"/>
      <c r="J174" s="110"/>
      <c r="K174" s="110"/>
      <c r="L174" s="110"/>
      <c r="M174" s="110"/>
      <c r="N174" s="110"/>
    </row>
    <row r="175" customHeight="1" spans="1:14">
      <c r="A175" s="117"/>
      <c r="B175" s="74"/>
      <c r="C175" s="75"/>
      <c r="D175" s="76"/>
      <c r="E175" s="78"/>
      <c r="F175" s="77"/>
      <c r="G175" s="110"/>
      <c r="H175" s="110"/>
      <c r="I175" s="110"/>
      <c r="J175" s="110"/>
      <c r="K175" s="110"/>
      <c r="L175" s="110"/>
      <c r="M175" s="110"/>
      <c r="N175" s="110"/>
    </row>
    <row r="176" customHeight="1" spans="1:14">
      <c r="A176" s="117"/>
      <c r="B176" s="74"/>
      <c r="C176" s="75"/>
      <c r="D176" s="76"/>
      <c r="E176" s="78"/>
      <c r="F176" s="77"/>
      <c r="G176" s="110"/>
      <c r="H176" s="110"/>
      <c r="I176" s="110"/>
      <c r="J176" s="110"/>
      <c r="K176" s="110"/>
      <c r="L176" s="110"/>
      <c r="M176" s="110"/>
      <c r="N176" s="110"/>
    </row>
    <row r="177" customHeight="1" spans="1:14">
      <c r="A177" s="117"/>
      <c r="B177" s="74"/>
      <c r="C177" s="75"/>
      <c r="D177" s="76"/>
      <c r="E177" s="78"/>
      <c r="F177" s="77"/>
      <c r="G177" s="110"/>
      <c r="H177" s="110"/>
      <c r="I177" s="110"/>
      <c r="J177" s="110"/>
      <c r="K177" s="110"/>
      <c r="L177" s="110"/>
      <c r="M177" s="110"/>
      <c r="N177" s="110"/>
    </row>
    <row r="178" customHeight="1" spans="1:14">
      <c r="A178" s="117"/>
      <c r="B178" s="74"/>
      <c r="C178" s="75"/>
      <c r="D178" s="76"/>
      <c r="E178" s="78"/>
      <c r="F178" s="77"/>
      <c r="G178" s="110"/>
      <c r="H178" s="110"/>
      <c r="I178" s="110"/>
      <c r="J178" s="110"/>
      <c r="K178" s="110"/>
      <c r="L178" s="110"/>
      <c r="M178" s="110"/>
      <c r="N178" s="110"/>
    </row>
    <row r="179" customHeight="1" spans="1:14">
      <c r="A179" s="117"/>
      <c r="B179" s="74"/>
      <c r="C179" s="75"/>
      <c r="D179" s="76"/>
      <c r="E179" s="78"/>
      <c r="F179" s="77"/>
      <c r="G179" s="110"/>
      <c r="H179" s="110"/>
      <c r="I179" s="110"/>
      <c r="J179" s="110"/>
      <c r="K179" s="110"/>
      <c r="L179" s="110"/>
      <c r="M179" s="110"/>
      <c r="N179" s="110"/>
    </row>
    <row r="180" customHeight="1" spans="1:14">
      <c r="A180" s="117"/>
      <c r="B180" s="74"/>
      <c r="C180" s="75"/>
      <c r="D180" s="76"/>
      <c r="E180" s="78"/>
      <c r="F180" s="77"/>
      <c r="G180" s="110"/>
      <c r="H180" s="110"/>
      <c r="I180" s="110"/>
      <c r="J180" s="110"/>
      <c r="K180" s="110"/>
      <c r="L180" s="110"/>
      <c r="M180" s="110"/>
      <c r="N180" s="110"/>
    </row>
    <row r="181" customHeight="1" spans="1:14">
      <c r="A181" s="117"/>
      <c r="B181" s="74"/>
      <c r="C181" s="75"/>
      <c r="D181" s="76"/>
      <c r="E181" s="78"/>
      <c r="F181" s="77"/>
      <c r="G181" s="110"/>
      <c r="H181" s="110"/>
      <c r="I181" s="110"/>
      <c r="J181" s="110"/>
      <c r="K181" s="110"/>
      <c r="L181" s="110"/>
      <c r="M181" s="110"/>
      <c r="N181" s="110"/>
    </row>
    <row r="182" customHeight="1" spans="1:14">
      <c r="A182" s="117"/>
      <c r="B182" s="74"/>
      <c r="C182" s="75"/>
      <c r="D182" s="76"/>
      <c r="E182" s="78"/>
      <c r="F182" s="77"/>
      <c r="G182" s="110"/>
      <c r="H182" s="110"/>
      <c r="I182" s="110"/>
      <c r="J182" s="110"/>
      <c r="K182" s="110"/>
      <c r="L182" s="110"/>
      <c r="M182" s="110"/>
      <c r="N182" s="110"/>
    </row>
    <row r="183" customHeight="1" spans="1:14">
      <c r="A183" s="117"/>
      <c r="B183" s="74"/>
      <c r="C183" s="75"/>
      <c r="D183" s="76"/>
      <c r="E183" s="78"/>
      <c r="F183" s="77"/>
      <c r="G183" s="110"/>
      <c r="H183" s="110"/>
      <c r="I183" s="110"/>
      <c r="J183" s="110"/>
      <c r="K183" s="110"/>
      <c r="L183" s="110"/>
      <c r="M183" s="110"/>
      <c r="N183" s="110"/>
    </row>
    <row r="184" customHeight="1" spans="1:14">
      <c r="A184" s="117"/>
      <c r="B184" s="74"/>
      <c r="C184" s="75"/>
      <c r="D184" s="76"/>
      <c r="E184" s="78"/>
      <c r="F184" s="77"/>
      <c r="G184" s="110"/>
      <c r="H184" s="110"/>
      <c r="I184" s="110"/>
      <c r="J184" s="110"/>
      <c r="K184" s="110"/>
      <c r="L184" s="110"/>
      <c r="M184" s="110"/>
      <c r="N184" s="110"/>
    </row>
    <row r="185" customHeight="1" spans="1:14">
      <c r="A185" s="117"/>
      <c r="B185" s="74"/>
      <c r="C185" s="75"/>
      <c r="D185" s="76"/>
      <c r="E185" s="78"/>
      <c r="F185" s="77"/>
      <c r="G185" s="110"/>
      <c r="H185" s="110"/>
      <c r="I185" s="110"/>
      <c r="J185" s="110"/>
      <c r="K185" s="110"/>
      <c r="L185" s="110"/>
      <c r="M185" s="110"/>
      <c r="N185" s="110"/>
    </row>
    <row r="186" customHeight="1" spans="1:14">
      <c r="A186" s="117"/>
      <c r="B186" s="74"/>
      <c r="C186" s="75"/>
      <c r="D186" s="76"/>
      <c r="E186" s="78"/>
      <c r="F186" s="77"/>
      <c r="G186" s="110"/>
      <c r="H186" s="110"/>
      <c r="I186" s="110"/>
      <c r="J186" s="110"/>
      <c r="K186" s="110"/>
      <c r="L186" s="110"/>
      <c r="M186" s="110"/>
      <c r="N186" s="110"/>
    </row>
    <row r="187" customHeight="1" spans="1:14">
      <c r="A187" s="117"/>
      <c r="B187" s="74"/>
      <c r="C187" s="75"/>
      <c r="D187" s="76"/>
      <c r="E187" s="78"/>
      <c r="F187" s="77"/>
      <c r="G187" s="110"/>
      <c r="H187" s="110"/>
      <c r="I187" s="110"/>
      <c r="J187" s="110"/>
      <c r="K187" s="110"/>
      <c r="L187" s="110"/>
      <c r="M187" s="110"/>
      <c r="N187" s="110"/>
    </row>
    <row r="188" customHeight="1" spans="1:14">
      <c r="A188" s="117"/>
      <c r="B188" s="74"/>
      <c r="C188" s="75"/>
      <c r="D188" s="76"/>
      <c r="E188" s="78"/>
      <c r="F188" s="77"/>
      <c r="G188" s="110"/>
      <c r="H188" s="110"/>
      <c r="I188" s="110"/>
      <c r="J188" s="110"/>
      <c r="K188" s="110"/>
      <c r="L188" s="110"/>
      <c r="M188" s="110"/>
      <c r="N188" s="110"/>
    </row>
    <row r="189" customHeight="1" spans="1:14">
      <c r="A189" s="117"/>
      <c r="B189" s="74"/>
      <c r="C189" s="75"/>
      <c r="D189" s="76"/>
      <c r="E189" s="78"/>
      <c r="F189" s="77"/>
      <c r="G189" s="110"/>
      <c r="H189" s="110"/>
      <c r="I189" s="110"/>
      <c r="J189" s="110"/>
      <c r="K189" s="110"/>
      <c r="L189" s="110"/>
      <c r="M189" s="110"/>
      <c r="N189" s="110"/>
    </row>
    <row r="190" customHeight="1" spans="1:14">
      <c r="A190" s="117"/>
      <c r="B190" s="74"/>
      <c r="C190" s="75"/>
      <c r="D190" s="76"/>
      <c r="E190" s="78"/>
      <c r="F190" s="77"/>
      <c r="G190" s="110"/>
      <c r="H190" s="110"/>
      <c r="I190" s="110"/>
      <c r="J190" s="110"/>
      <c r="K190" s="110"/>
      <c r="L190" s="110"/>
      <c r="M190" s="110"/>
      <c r="N190" s="110"/>
    </row>
    <row r="191" customHeight="1" spans="1:2">
      <c r="A191" s="47"/>
      <c r="B191" s="48"/>
    </row>
    <row r="192" customHeight="1" spans="1:2">
      <c r="A192" s="47"/>
      <c r="B192" s="48"/>
    </row>
    <row r="193" customHeight="1" spans="1:2">
      <c r="A193" s="47"/>
      <c r="B193" s="48"/>
    </row>
    <row r="194" customHeight="1" spans="1:10">
      <c r="A194" s="47"/>
      <c r="B194" s="48"/>
      <c r="D194" s="126" t="s">
        <v>294</v>
      </c>
      <c r="E194" s="126" t="s">
        <v>295</v>
      </c>
      <c r="F194" s="126" t="s">
        <v>15</v>
      </c>
      <c r="I194" s="67" t="s">
        <v>24</v>
      </c>
      <c r="J194" s="67">
        <v>15000</v>
      </c>
    </row>
    <row r="195" customHeight="1" spans="1:10">
      <c r="A195" s="47"/>
      <c r="B195" s="48"/>
      <c r="D195" s="70">
        <f t="shared" ref="D195:E195" si="1">SUM(D3:D190)</f>
        <v>50941.4</v>
      </c>
      <c r="E195" s="70">
        <f t="shared" si="1"/>
        <v>50283.95</v>
      </c>
      <c r="F195" s="70">
        <f>D195-E195</f>
        <v>657.450000000012</v>
      </c>
      <c r="I195" s="67" t="s">
        <v>230</v>
      </c>
      <c r="J195" s="67">
        <v>4000</v>
      </c>
    </row>
    <row r="196" customHeight="1" spans="1:6">
      <c r="A196" s="47"/>
      <c r="B196" s="48"/>
      <c r="D196" s="52" t="s">
        <v>417</v>
      </c>
      <c r="E196" s="53">
        <f t="shared" ref="E196:E197" si="2">E195-J194</f>
        <v>35283.95</v>
      </c>
      <c r="F196" s="54"/>
    </row>
    <row r="197" customHeight="1" spans="1:6">
      <c r="A197" s="47"/>
      <c r="B197" s="48"/>
      <c r="D197" s="52" t="s">
        <v>497</v>
      </c>
      <c r="E197" s="53">
        <f t="shared" si="2"/>
        <v>31283.95</v>
      </c>
      <c r="F197" s="54"/>
    </row>
    <row r="198" customHeight="1" spans="1:2">
      <c r="A198" s="47"/>
      <c r="B198" s="48"/>
    </row>
    <row r="199" customHeight="1" spans="1:2">
      <c r="A199" s="47"/>
      <c r="B199" s="48"/>
    </row>
    <row r="200" customHeight="1" spans="1:2">
      <c r="A200" s="47"/>
      <c r="B200" s="48"/>
    </row>
    <row r="201" customHeight="1" spans="1:6">
      <c r="A201" s="47"/>
      <c r="B201" s="48"/>
      <c r="D201" s="55" t="s">
        <v>27</v>
      </c>
      <c r="E201" s="53">
        <f ca="1">SUMIF(C$3:E$199,"Grocery",E$3:E$199)</f>
        <v>12590.06</v>
      </c>
      <c r="F201" s="56">
        <f ca="1">SUM(E201:E203)</f>
        <v>16684.64</v>
      </c>
    </row>
    <row r="202" customHeight="1" spans="1:6">
      <c r="A202" s="47"/>
      <c r="B202" s="48"/>
      <c r="D202" s="55" t="s">
        <v>224</v>
      </c>
      <c r="E202" s="53">
        <f ca="1">SUMIF(C$3:E$199,"Snacks",E$3:E$199)</f>
        <v>1528.58</v>
      </c>
      <c r="F202" s="57"/>
    </row>
    <row r="203" customHeight="1" spans="1:6">
      <c r="A203" s="47"/>
      <c r="B203" s="48"/>
      <c r="D203" s="55" t="s">
        <v>299</v>
      </c>
      <c r="E203" s="53">
        <f ca="1">SUMIF(C$3:E$199,"Food",E$3:E$199)</f>
        <v>2566</v>
      </c>
      <c r="F203" s="58"/>
    </row>
    <row r="204" customHeight="1" spans="1:5">
      <c r="A204" s="47"/>
      <c r="B204" s="48"/>
      <c r="D204" s="55" t="s">
        <v>245</v>
      </c>
      <c r="E204" s="53">
        <f ca="1">SUMIF(C$3:E$199,"Health",E$3:E$199)</f>
        <v>2642.58</v>
      </c>
    </row>
    <row r="205" customHeight="1" spans="1:7">
      <c r="A205" s="47"/>
      <c r="B205" s="48"/>
      <c r="D205" s="55" t="s">
        <v>54</v>
      </c>
      <c r="E205" s="53">
        <f ca="1">SUMIF(C$3:E$199,"Dress",E$3:E$199)</f>
        <v>570</v>
      </c>
      <c r="F205" s="59"/>
      <c r="G205" s="60"/>
    </row>
    <row r="206" customHeight="1" spans="1:5">
      <c r="A206" s="47"/>
      <c r="B206" s="48"/>
      <c r="D206" s="55" t="s">
        <v>214</v>
      </c>
      <c r="E206" s="53">
        <f ca="1">SUMIF(C$3:E$199,"Home",E$3:E$199)</f>
        <v>20306.9</v>
      </c>
    </row>
    <row r="207" customHeight="1" spans="1:7">
      <c r="A207" s="47"/>
      <c r="B207" s="48"/>
      <c r="D207" s="55" t="s">
        <v>281</v>
      </c>
      <c r="E207" s="53">
        <f ca="1">SUMIF(C$3:E$199,"Tickets",E$3:E$199)</f>
        <v>0</v>
      </c>
      <c r="F207" s="61">
        <f ca="1">SUM(E207:E209)</f>
        <v>2310</v>
      </c>
      <c r="G207" s="62"/>
    </row>
    <row r="208" customHeight="1" spans="1:8">
      <c r="A208" s="47"/>
      <c r="B208" s="48"/>
      <c r="D208" s="55" t="s">
        <v>210</v>
      </c>
      <c r="E208" s="53">
        <f ca="1">SUMIF(C$3:E$199,"Transport",E$3:E$199)</f>
        <v>1600</v>
      </c>
      <c r="F208" s="66"/>
      <c r="H208" s="67" t="s">
        <v>300</v>
      </c>
    </row>
    <row r="209" customHeight="1" spans="1:8">
      <c r="A209" s="47"/>
      <c r="B209" s="48"/>
      <c r="D209" s="55" t="s">
        <v>201</v>
      </c>
      <c r="E209" s="53">
        <f ca="1">SUMIF(C$3:E$199,"Fuel",E$3:E$199)</f>
        <v>710</v>
      </c>
      <c r="F209" s="68"/>
      <c r="H209" s="53">
        <f ca="1">E195-E211</f>
        <v>-35.0100000000166</v>
      </c>
    </row>
    <row r="210" customHeight="1" spans="1:5">
      <c r="A210" s="47"/>
      <c r="B210" s="48"/>
      <c r="D210" s="55" t="s">
        <v>219</v>
      </c>
      <c r="E210" s="53">
        <f ca="1">SUMIF(C$3:E$199,"Others",E$3:E$199)</f>
        <v>7804.84</v>
      </c>
    </row>
    <row r="211" customHeight="1" spans="1:5">
      <c r="A211" s="47"/>
      <c r="B211" s="48"/>
      <c r="D211" s="69" t="s">
        <v>7</v>
      </c>
      <c r="E211" s="70">
        <f ca="1">SUM(E201:E210)</f>
        <v>50318.96</v>
      </c>
    </row>
    <row r="212" customHeight="1" spans="1:2">
      <c r="A212" s="47"/>
      <c r="B212" s="48"/>
    </row>
    <row r="213" customHeight="1" spans="1:2">
      <c r="A213" s="47"/>
      <c r="B213" s="48"/>
    </row>
    <row r="214" customHeight="1" spans="1:2">
      <c r="A214" s="47"/>
      <c r="B214" s="48"/>
    </row>
    <row r="215" customHeight="1" spans="1:2">
      <c r="A215" s="47"/>
      <c r="B215" s="48"/>
    </row>
    <row r="216" customHeight="1" spans="1:2">
      <c r="A216" s="47"/>
      <c r="B216" s="48"/>
    </row>
    <row r="217" customHeight="1" spans="1:2">
      <c r="A217" s="47"/>
      <c r="B217" s="48"/>
    </row>
    <row r="218" customHeight="1" spans="1:2">
      <c r="A218" s="47"/>
      <c r="B218" s="48"/>
    </row>
    <row r="219" customHeight="1" spans="1:2">
      <c r="A219" s="47"/>
      <c r="B219" s="48"/>
    </row>
    <row r="220" customHeight="1" spans="1:2">
      <c r="A220" s="47"/>
      <c r="B220" s="48"/>
    </row>
    <row r="221" customHeight="1" spans="1:2">
      <c r="A221" s="47"/>
      <c r="B221" s="48"/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2">
      <c r="A224" s="47"/>
      <c r="B224" s="48"/>
    </row>
    <row r="225" customHeight="1" spans="1:2">
      <c r="A225" s="47"/>
      <c r="B225" s="48"/>
    </row>
    <row r="226" customHeight="1" spans="1:2">
      <c r="A226" s="47"/>
      <c r="B226" s="48"/>
    </row>
    <row r="227" customHeight="1" spans="1:2">
      <c r="A227" s="47"/>
      <c r="B227" s="48"/>
    </row>
    <row r="228" customHeight="1" spans="1:2">
      <c r="A228" s="47"/>
      <c r="B228" s="48"/>
    </row>
    <row r="229" customHeight="1" spans="1:2">
      <c r="A229" s="47"/>
      <c r="B229" s="48"/>
    </row>
    <row r="230" customHeight="1" spans="1:2">
      <c r="A230" s="47"/>
      <c r="B230" s="48"/>
    </row>
    <row r="231" customHeight="1" spans="1:2">
      <c r="A231" s="47"/>
      <c r="B231" s="48"/>
    </row>
    <row r="232" customHeight="1" spans="1:2">
      <c r="A232" s="47"/>
      <c r="B232" s="48"/>
    </row>
    <row r="233" customHeight="1" spans="1:2">
      <c r="A233" s="47"/>
      <c r="B233" s="48"/>
    </row>
    <row r="234" customHeight="1" spans="1:2">
      <c r="A234" s="47"/>
      <c r="B234" s="48"/>
    </row>
    <row r="235" customHeight="1" spans="1:2">
      <c r="A235" s="47"/>
      <c r="B235" s="48"/>
    </row>
    <row r="236" customHeight="1" spans="1:2">
      <c r="A236" s="47"/>
      <c r="B236" s="48"/>
    </row>
    <row r="237" customHeight="1" spans="1:2">
      <c r="A237" s="47"/>
      <c r="B237" s="48"/>
    </row>
    <row r="238" customHeight="1" spans="1:2">
      <c r="A238" s="47"/>
      <c r="B238" s="48"/>
    </row>
    <row r="239" customHeight="1" spans="1:2">
      <c r="A239" s="47"/>
      <c r="B239" s="48"/>
    </row>
    <row r="240" customHeight="1" spans="1:2">
      <c r="A240" s="47"/>
      <c r="B240" s="48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2">
      <c r="A971" s="47"/>
      <c r="B971" s="48"/>
    </row>
    <row r="972" customHeight="1" spans="1:2">
      <c r="A972" s="47"/>
      <c r="B972" s="48"/>
    </row>
    <row r="973" customHeight="1" spans="1:2">
      <c r="A973" s="47"/>
      <c r="B973" s="48"/>
    </row>
    <row r="974" customHeight="1" spans="1:2">
      <c r="A974" s="47"/>
      <c r="B974" s="48"/>
    </row>
    <row r="975" customHeight="1" spans="1:2">
      <c r="A975" s="47"/>
      <c r="B975" s="48"/>
    </row>
    <row r="976" customHeight="1" spans="1:2">
      <c r="A976" s="47"/>
      <c r="B976" s="48"/>
    </row>
    <row r="977" customHeight="1" spans="1:1">
      <c r="A977" s="47"/>
    </row>
    <row r="978" customHeight="1" spans="1:1">
      <c r="A978" s="47"/>
    </row>
    <row r="979" customHeight="1" spans="1:1">
      <c r="A979" s="47"/>
    </row>
    <row r="980" customHeight="1" spans="1:1">
      <c r="A980" s="47"/>
    </row>
    <row r="981" customHeight="1" spans="1:1">
      <c r="A981" s="47"/>
    </row>
    <row r="982" customHeight="1" spans="1:1">
      <c r="A982" s="47"/>
    </row>
    <row r="983" customHeight="1" spans="1:1">
      <c r="A983" s="47"/>
    </row>
    <row r="984" customHeight="1" spans="1:1">
      <c r="A984" s="47"/>
    </row>
    <row r="985" customHeight="1" spans="1:1">
      <c r="A985" s="47"/>
    </row>
    <row r="986" customHeight="1" spans="1:1">
      <c r="A986" s="47"/>
    </row>
    <row r="987" customHeight="1" spans="1:1">
      <c r="A987" s="47"/>
    </row>
    <row r="988" customHeight="1" spans="1:1">
      <c r="A988" s="47"/>
    </row>
    <row r="989" customHeight="1" spans="1:1">
      <c r="A989" s="47"/>
    </row>
    <row r="990" customHeight="1" spans="1:1">
      <c r="A990" s="47"/>
    </row>
    <row r="991" customHeight="1" spans="1:1">
      <c r="A991" s="47"/>
    </row>
    <row r="992" customHeight="1" spans="1:1">
      <c r="A992" s="47"/>
    </row>
    <row r="993" customHeight="1" spans="1:1">
      <c r="A993" s="47"/>
    </row>
    <row r="994" customHeight="1" spans="1:1">
      <c r="A994" s="47"/>
    </row>
    <row r="995" customHeight="1" spans="1:1">
      <c r="A995" s="47"/>
    </row>
    <row r="996" customHeight="1" spans="1:1">
      <c r="A996" s="47"/>
    </row>
    <row r="997" customHeight="1" spans="1:1">
      <c r="A997" s="47"/>
    </row>
    <row r="998" customHeight="1" spans="1:1">
      <c r="A998" s="47"/>
    </row>
    <row r="999" customHeight="1" spans="1:1">
      <c r="A999" s="47"/>
    </row>
    <row r="1000" customHeight="1" spans="1:1">
      <c r="A1000" s="47"/>
    </row>
    <row r="1001" customHeight="1" spans="1:1">
      <c r="A1001" s="47"/>
    </row>
    <row r="1002" customHeight="1" spans="1:1">
      <c r="A1002" s="47"/>
    </row>
    <row r="1003" customHeight="1" spans="1:1">
      <c r="A1003" s="47"/>
    </row>
    <row r="1004" customHeight="1" spans="1:1">
      <c r="A1004" s="47"/>
    </row>
    <row r="1005" customHeight="1" spans="1:1">
      <c r="A1005" s="47"/>
    </row>
    <row r="1006" customHeight="1" spans="1:1">
      <c r="A1006" s="47"/>
    </row>
    <row r="1007" customHeight="1" spans="1:1">
      <c r="A1007" s="47"/>
    </row>
    <row r="1008" customHeight="1" spans="1:1">
      <c r="A1008" s="47"/>
    </row>
    <row r="1009" customHeight="1" spans="1:1">
      <c r="A1009" s="47"/>
    </row>
    <row r="1010" customHeight="1" spans="1:1">
      <c r="A1010" s="47"/>
    </row>
    <row r="1011" customHeight="1" spans="1:1">
      <c r="A1011" s="47"/>
    </row>
    <row r="1012" customHeight="1" spans="1:1">
      <c r="A1012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201:F203"/>
    <mergeCell ref="F207:F209"/>
    <mergeCell ref="G1:G2"/>
    <mergeCell ref="H1:H2"/>
    <mergeCell ref="I1:I2"/>
    <mergeCell ref="J1:J2"/>
    <mergeCell ref="K1:K2"/>
    <mergeCell ref="L1:L2"/>
  </mergeCells>
  <conditionalFormatting sqref="G110:G111 G121 G139">
    <cfRule type="expression" dxfId="0" priority="1">
      <formula>"F56"</formula>
    </cfRule>
  </conditionalFormatting>
  <dataValidations count="1">
    <dataValidation type="list" allowBlank="1" showErrorMessage="1" sqref="C3:C190">
      <formula1>"Grocery,Health,Others,Home,Dress,Food,Snacks,Transport,Tickets,Fuel"</formula1>
    </dataValidation>
  </dataValidation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24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46" t="s">
        <v>194</v>
      </c>
      <c r="N2" s="146" t="s">
        <v>207</v>
      </c>
    </row>
    <row r="3" customHeight="1" spans="1:14">
      <c r="A3" s="6" t="s">
        <v>762</v>
      </c>
      <c r="B3" s="7" t="s">
        <v>6</v>
      </c>
      <c r="C3" s="8"/>
      <c r="D3" s="9">
        <v>657.45</v>
      </c>
      <c r="E3" s="10"/>
      <c r="F3" s="79">
        <f>D3-E3</f>
        <v>657.45</v>
      </c>
      <c r="G3" s="110"/>
      <c r="H3" s="105"/>
      <c r="I3" s="105"/>
      <c r="J3" s="105"/>
      <c r="K3" s="105"/>
      <c r="L3" s="105"/>
      <c r="M3" s="105"/>
      <c r="N3" s="105"/>
    </row>
    <row r="4" customHeight="1" spans="1:14">
      <c r="A4" s="14"/>
      <c r="B4" s="7" t="s">
        <v>74</v>
      </c>
      <c r="C4" s="8"/>
      <c r="D4" s="9">
        <v>36561</v>
      </c>
      <c r="E4" s="10"/>
      <c r="F4" s="79">
        <f t="shared" ref="F4:F200" si="0">(D4-E4)+F3</f>
        <v>37218.45</v>
      </c>
      <c r="G4" s="79"/>
      <c r="H4" s="77"/>
      <c r="I4" s="77"/>
      <c r="J4" s="77"/>
      <c r="K4" s="77"/>
      <c r="L4" s="77"/>
      <c r="M4" s="77"/>
      <c r="N4" s="77"/>
    </row>
    <row r="5" customHeight="1" spans="1:14">
      <c r="A5" s="6"/>
      <c r="B5" s="7" t="s">
        <v>500</v>
      </c>
      <c r="C5" s="8"/>
      <c r="D5" s="9">
        <v>12000</v>
      </c>
      <c r="E5" s="10"/>
      <c r="F5" s="79">
        <f t="shared" si="0"/>
        <v>49218.45</v>
      </c>
      <c r="G5" s="11"/>
      <c r="H5" s="20"/>
      <c r="I5" s="20"/>
      <c r="J5" s="20"/>
      <c r="K5" s="20"/>
      <c r="L5" s="20"/>
      <c r="M5" s="20"/>
      <c r="N5" s="20"/>
    </row>
    <row r="6" customHeight="1" spans="1:14">
      <c r="A6" s="6"/>
      <c r="B6" s="7" t="s">
        <v>230</v>
      </c>
      <c r="C6" s="8" t="s">
        <v>219</v>
      </c>
      <c r="D6" s="9"/>
      <c r="E6" s="10">
        <v>4000</v>
      </c>
      <c r="F6" s="79">
        <f t="shared" si="0"/>
        <v>45218.45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/>
      <c r="B7" s="7" t="s">
        <v>763</v>
      </c>
      <c r="C7" s="8"/>
      <c r="D7" s="9">
        <v>40</v>
      </c>
      <c r="E7" s="10"/>
      <c r="F7" s="79">
        <f t="shared" si="0"/>
        <v>45258.45</v>
      </c>
      <c r="H7" s="20"/>
      <c r="I7" s="20"/>
      <c r="J7" s="20"/>
      <c r="K7" s="20"/>
      <c r="L7" s="20"/>
      <c r="M7" s="20"/>
      <c r="N7" s="20"/>
    </row>
    <row r="8" customHeight="1" spans="1:14">
      <c r="A8" s="36"/>
      <c r="B8" s="16" t="s">
        <v>764</v>
      </c>
      <c r="C8" s="17" t="s">
        <v>27</v>
      </c>
      <c r="D8" s="18"/>
      <c r="E8" s="19">
        <v>393.67</v>
      </c>
      <c r="F8" s="79">
        <f t="shared" si="0"/>
        <v>44864.78</v>
      </c>
      <c r="G8" s="20">
        <f>ABS(G9-F9)</f>
        <v>0</v>
      </c>
      <c r="H8" s="20"/>
      <c r="J8" s="20"/>
      <c r="K8" s="20"/>
      <c r="L8" s="20"/>
      <c r="M8" s="20"/>
      <c r="N8" s="20"/>
    </row>
    <row r="9" customHeight="1" spans="1:14">
      <c r="A9" s="6"/>
      <c r="B9" s="7" t="s">
        <v>37</v>
      </c>
      <c r="C9" s="8" t="s">
        <v>86</v>
      </c>
      <c r="D9" s="9"/>
      <c r="E9" s="10">
        <v>60</v>
      </c>
      <c r="F9" s="79">
        <f t="shared" si="0"/>
        <v>44804.78</v>
      </c>
      <c r="G9" s="11">
        <f>H9+I9+J9+K9+L9+M9+N9</f>
        <v>44804.78</v>
      </c>
      <c r="H9" s="20">
        <v>0</v>
      </c>
      <c r="I9">
        <f>12000+270.55-393.67</f>
        <v>11876.88</v>
      </c>
      <c r="J9" s="20">
        <v>0</v>
      </c>
      <c r="K9" s="20">
        <v>0</v>
      </c>
      <c r="L9" s="20">
        <v>32270.9</v>
      </c>
      <c r="M9" s="20">
        <v>0</v>
      </c>
      <c r="N9" s="20">
        <v>657</v>
      </c>
    </row>
    <row r="10" customHeight="1" spans="1:14">
      <c r="A10" s="22" t="s">
        <v>765</v>
      </c>
      <c r="B10" s="23" t="s">
        <v>766</v>
      </c>
      <c r="C10" s="24" t="s">
        <v>245</v>
      </c>
      <c r="D10" s="25"/>
      <c r="E10" s="26">
        <v>904</v>
      </c>
      <c r="F10" s="85">
        <f t="shared" si="0"/>
        <v>43900.78</v>
      </c>
      <c r="G10" s="38"/>
      <c r="H10" s="38"/>
      <c r="I10" s="38"/>
      <c r="J10" s="38"/>
      <c r="K10" s="38"/>
      <c r="L10" s="38"/>
      <c r="M10" s="38"/>
      <c r="N10" s="38"/>
    </row>
    <row r="11" customHeight="1" spans="1:6">
      <c r="A11" s="6"/>
      <c r="B11" s="7" t="s">
        <v>767</v>
      </c>
      <c r="C11" s="8" t="s">
        <v>214</v>
      </c>
      <c r="D11" s="9"/>
      <c r="E11" s="10">
        <v>15000</v>
      </c>
      <c r="F11" s="79">
        <f t="shared" si="0"/>
        <v>28900.78</v>
      </c>
    </row>
    <row r="12" customHeight="1" spans="1:6">
      <c r="A12" s="6"/>
      <c r="B12" s="7" t="s">
        <v>768</v>
      </c>
      <c r="C12" s="8" t="s">
        <v>214</v>
      </c>
      <c r="D12" s="9"/>
      <c r="E12" s="10">
        <v>972</v>
      </c>
      <c r="F12" s="79">
        <f t="shared" si="0"/>
        <v>27928.78</v>
      </c>
    </row>
    <row r="13" customHeight="1" spans="1:14">
      <c r="A13" s="6"/>
      <c r="B13" s="7" t="s">
        <v>769</v>
      </c>
      <c r="C13" s="8" t="s">
        <v>245</v>
      </c>
      <c r="D13" s="9"/>
      <c r="E13" s="10">
        <v>999</v>
      </c>
      <c r="F13" s="79">
        <f t="shared" si="0"/>
        <v>26929.78</v>
      </c>
      <c r="G13" s="20"/>
      <c r="H13" s="20"/>
      <c r="I13" s="20"/>
      <c r="J13" s="20"/>
      <c r="K13" s="20"/>
      <c r="L13" s="20"/>
      <c r="M13" s="20"/>
      <c r="N13" s="20"/>
    </row>
    <row r="14" customHeight="1" spans="1:14">
      <c r="A14" s="6"/>
      <c r="B14" s="7" t="s">
        <v>17</v>
      </c>
      <c r="C14" s="8" t="s">
        <v>86</v>
      </c>
      <c r="D14" s="9"/>
      <c r="E14" s="10">
        <v>322</v>
      </c>
      <c r="F14" s="79">
        <f t="shared" si="0"/>
        <v>26607.78</v>
      </c>
      <c r="G14" s="20"/>
      <c r="H14" s="20"/>
      <c r="I14" s="20"/>
      <c r="J14" s="20"/>
      <c r="K14" s="20"/>
      <c r="L14" s="20"/>
      <c r="M14" s="20"/>
      <c r="N14" s="20"/>
    </row>
    <row r="15" customHeight="1" spans="1:14">
      <c r="A15" s="6"/>
      <c r="B15" s="7" t="s">
        <v>19</v>
      </c>
      <c r="C15" s="8" t="s">
        <v>27</v>
      </c>
      <c r="D15" s="9"/>
      <c r="E15" s="10">
        <v>60</v>
      </c>
      <c r="F15" s="79">
        <f t="shared" si="0"/>
        <v>26547.78</v>
      </c>
      <c r="G15" s="127"/>
      <c r="I15" s="13"/>
      <c r="J15" s="13"/>
      <c r="K15" s="13"/>
      <c r="L15" s="13"/>
      <c r="M15" s="13"/>
      <c r="N15" s="13"/>
    </row>
    <row r="16" customHeight="1" spans="1:14">
      <c r="A16" s="6"/>
      <c r="B16" s="7" t="s">
        <v>770</v>
      </c>
      <c r="C16" s="8" t="s">
        <v>214</v>
      </c>
      <c r="D16" s="9"/>
      <c r="E16" s="10">
        <v>90</v>
      </c>
      <c r="F16" s="79">
        <f t="shared" si="0"/>
        <v>26457.78</v>
      </c>
      <c r="G16" s="127"/>
      <c r="H16" s="13"/>
      <c r="I16" s="13"/>
      <c r="J16" s="13"/>
      <c r="K16" s="13"/>
      <c r="L16" s="13"/>
      <c r="M16" s="13"/>
      <c r="N16" s="13"/>
    </row>
    <row r="17" customHeight="1" spans="1:14">
      <c r="A17" s="6"/>
      <c r="B17" s="7" t="s">
        <v>771</v>
      </c>
      <c r="C17" s="8" t="s">
        <v>245</v>
      </c>
      <c r="D17" s="9"/>
      <c r="E17" s="10">
        <v>265</v>
      </c>
      <c r="F17" s="79">
        <f t="shared" si="0"/>
        <v>26192.78</v>
      </c>
      <c r="G17" s="15"/>
      <c r="H17" s="15"/>
      <c r="I17" s="15"/>
      <c r="J17" s="15"/>
      <c r="K17" s="15"/>
      <c r="L17" s="15"/>
      <c r="M17" s="15"/>
      <c r="N17" s="15"/>
    </row>
    <row r="18" customHeight="1" spans="1:14">
      <c r="A18" s="6"/>
      <c r="B18" s="7" t="s">
        <v>772</v>
      </c>
      <c r="C18" s="8" t="s">
        <v>27</v>
      </c>
      <c r="D18" s="9"/>
      <c r="E18" s="10">
        <v>296.18</v>
      </c>
      <c r="F18" s="79">
        <f t="shared" si="0"/>
        <v>25896.6</v>
      </c>
      <c r="G18" s="20"/>
      <c r="H18" s="20"/>
      <c r="I18" s="20"/>
      <c r="J18" s="20"/>
      <c r="K18" s="20"/>
      <c r="L18" s="20"/>
      <c r="M18" s="20"/>
      <c r="N18" s="20"/>
    </row>
    <row r="19" customHeight="1" spans="1:14">
      <c r="A19" s="22" t="s">
        <v>773</v>
      </c>
      <c r="B19" s="23" t="s">
        <v>774</v>
      </c>
      <c r="C19" s="24" t="s">
        <v>214</v>
      </c>
      <c r="D19" s="25"/>
      <c r="E19" s="26">
        <v>868.5</v>
      </c>
      <c r="F19" s="85">
        <f t="shared" si="0"/>
        <v>25028.1</v>
      </c>
      <c r="G19" s="27"/>
      <c r="H19" s="38"/>
      <c r="I19" s="100"/>
      <c r="J19" s="38"/>
      <c r="K19" s="38"/>
      <c r="L19" s="38"/>
      <c r="M19" s="38"/>
      <c r="N19" s="38"/>
    </row>
    <row r="20" customHeight="1" spans="1:14">
      <c r="A20" s="6"/>
      <c r="B20" s="7" t="s">
        <v>775</v>
      </c>
      <c r="C20" s="8" t="s">
        <v>214</v>
      </c>
      <c r="D20" s="9"/>
      <c r="E20" s="10">
        <v>195</v>
      </c>
      <c r="F20" s="79">
        <f t="shared" si="0"/>
        <v>24833.1</v>
      </c>
      <c r="G20" s="20"/>
      <c r="H20" s="15"/>
      <c r="I20" s="13"/>
      <c r="J20" s="15"/>
      <c r="K20" s="15"/>
      <c r="L20" s="20"/>
      <c r="M20" s="15"/>
      <c r="N20" s="15"/>
    </row>
    <row r="21" customHeight="1" spans="1:14">
      <c r="A21" s="6"/>
      <c r="B21" s="16" t="s">
        <v>776</v>
      </c>
      <c r="C21" s="17" t="s">
        <v>86</v>
      </c>
      <c r="D21" s="18"/>
      <c r="E21" s="19">
        <v>168.7</v>
      </c>
      <c r="F21" s="79">
        <f t="shared" si="0"/>
        <v>24664.4</v>
      </c>
      <c r="G21" s="15"/>
      <c r="H21" s="15"/>
      <c r="I21" s="15"/>
      <c r="J21" s="15"/>
      <c r="K21" s="15"/>
      <c r="L21" s="15"/>
      <c r="M21" s="15"/>
      <c r="N21" s="15"/>
    </row>
    <row r="22" customHeight="1" spans="1:14">
      <c r="A22" s="6"/>
      <c r="B22" s="7" t="s">
        <v>543</v>
      </c>
      <c r="C22" s="8" t="s">
        <v>245</v>
      </c>
      <c r="D22" s="9"/>
      <c r="E22" s="10">
        <v>14</v>
      </c>
      <c r="F22" s="79">
        <f t="shared" si="0"/>
        <v>24650.4</v>
      </c>
      <c r="G22" s="15"/>
      <c r="H22" s="15"/>
      <c r="I22" s="15"/>
      <c r="J22" s="15"/>
      <c r="K22" s="15"/>
      <c r="L22" s="15"/>
      <c r="M22" s="15"/>
      <c r="N22" s="15"/>
    </row>
    <row r="23" customHeight="1" spans="1:14">
      <c r="A23" s="6"/>
      <c r="B23" s="7" t="s">
        <v>614</v>
      </c>
      <c r="C23" s="8" t="s">
        <v>86</v>
      </c>
      <c r="D23" s="9"/>
      <c r="E23" s="10">
        <v>100</v>
      </c>
      <c r="F23" s="79">
        <f t="shared" si="0"/>
        <v>24550.4</v>
      </c>
      <c r="G23" s="15"/>
      <c r="H23" s="15"/>
      <c r="I23" s="15"/>
      <c r="J23" s="15"/>
      <c r="K23" s="15"/>
      <c r="L23" s="15"/>
      <c r="M23" s="15"/>
      <c r="N23" s="15"/>
    </row>
    <row r="24" customHeight="1" spans="1:14">
      <c r="A24" s="6"/>
      <c r="B24" s="7" t="s">
        <v>777</v>
      </c>
      <c r="C24" s="8" t="s">
        <v>245</v>
      </c>
      <c r="D24" s="9"/>
      <c r="E24" s="10">
        <v>608</v>
      </c>
      <c r="F24" s="79">
        <f t="shared" si="0"/>
        <v>23942.4</v>
      </c>
      <c r="G24" s="15"/>
      <c r="H24" s="15"/>
      <c r="I24" s="15"/>
      <c r="J24" s="15"/>
      <c r="K24" s="15"/>
      <c r="L24" s="15"/>
      <c r="M24" s="15"/>
      <c r="N24" s="15"/>
    </row>
    <row r="25" customHeight="1" spans="1:14">
      <c r="A25" s="159">
        <v>45757</v>
      </c>
      <c r="B25" s="95" t="s">
        <v>17</v>
      </c>
      <c r="C25" s="96" t="s">
        <v>86</v>
      </c>
      <c r="D25" s="97"/>
      <c r="E25" s="98">
        <v>1043</v>
      </c>
      <c r="F25" s="85">
        <f t="shared" si="0"/>
        <v>22899.4</v>
      </c>
      <c r="G25" s="28"/>
      <c r="H25" s="28"/>
      <c r="I25" s="28"/>
      <c r="J25" s="28"/>
      <c r="K25" s="28"/>
      <c r="L25" s="28"/>
      <c r="M25" s="28"/>
      <c r="N25" s="28"/>
    </row>
    <row r="26" customHeight="1" spans="1:14">
      <c r="A26" s="6"/>
      <c r="B26" s="7" t="s">
        <v>778</v>
      </c>
      <c r="C26" s="8" t="s">
        <v>214</v>
      </c>
      <c r="D26" s="9"/>
      <c r="E26" s="10">
        <v>60</v>
      </c>
      <c r="F26" s="79">
        <f t="shared" si="0"/>
        <v>22839.4</v>
      </c>
      <c r="G26" s="20"/>
      <c r="H26" s="20"/>
      <c r="I26" s="20"/>
      <c r="J26" s="20"/>
      <c r="K26" s="20"/>
      <c r="L26" s="20"/>
      <c r="M26" s="20"/>
      <c r="N26" s="20"/>
    </row>
    <row r="27" customHeight="1" spans="1:14">
      <c r="A27" s="6" t="s">
        <v>779</v>
      </c>
      <c r="B27" s="7"/>
      <c r="C27" s="8" t="s">
        <v>219</v>
      </c>
      <c r="D27" s="9"/>
      <c r="E27" s="10">
        <v>200</v>
      </c>
      <c r="F27" s="79">
        <f t="shared" si="0"/>
        <v>22639.4</v>
      </c>
      <c r="G27" s="11"/>
      <c r="H27" s="20"/>
      <c r="J27" s="20"/>
      <c r="K27" s="20"/>
      <c r="L27" s="20"/>
      <c r="M27" s="20"/>
      <c r="N27" s="20"/>
    </row>
    <row r="28" customHeight="1" spans="1:6">
      <c r="A28" s="145"/>
      <c r="B28" s="7" t="s">
        <v>780</v>
      </c>
      <c r="C28" s="8" t="s">
        <v>224</v>
      </c>
      <c r="D28" s="9"/>
      <c r="E28" s="10">
        <v>40</v>
      </c>
      <c r="F28" s="79">
        <f t="shared" si="0"/>
        <v>22599.4</v>
      </c>
    </row>
    <row r="29" customHeight="1" spans="1:6">
      <c r="A29" s="145"/>
      <c r="B29" s="16" t="s">
        <v>781</v>
      </c>
      <c r="C29" s="17" t="s">
        <v>27</v>
      </c>
      <c r="D29" s="18"/>
      <c r="E29" s="19">
        <f>529.48-143</f>
        <v>386.48</v>
      </c>
      <c r="F29" s="79">
        <f t="shared" si="0"/>
        <v>22212.92</v>
      </c>
    </row>
    <row r="30" customHeight="1" spans="1:14">
      <c r="A30" s="6"/>
      <c r="B30" s="16" t="s">
        <v>782</v>
      </c>
      <c r="C30" s="17" t="s">
        <v>219</v>
      </c>
      <c r="D30" s="18"/>
      <c r="E30" s="19">
        <v>220</v>
      </c>
      <c r="F30" s="79">
        <f t="shared" si="0"/>
        <v>21992.92</v>
      </c>
      <c r="G30" s="15"/>
      <c r="H30" s="15"/>
      <c r="J30" s="15"/>
      <c r="K30" s="15"/>
      <c r="L30" s="15"/>
      <c r="M30" s="15"/>
      <c r="N30" s="15"/>
    </row>
    <row r="31" customHeight="1" spans="1:14">
      <c r="A31" s="6" t="s">
        <v>783</v>
      </c>
      <c r="B31" s="7" t="s">
        <v>308</v>
      </c>
      <c r="C31" s="8" t="s">
        <v>201</v>
      </c>
      <c r="D31" s="9"/>
      <c r="E31" s="10">
        <v>210</v>
      </c>
      <c r="F31" s="79">
        <f t="shared" si="0"/>
        <v>21782.92</v>
      </c>
      <c r="G31" s="20">
        <f>ABS(G32-F32)</f>
        <v>0</v>
      </c>
      <c r="H31" s="20"/>
      <c r="I31" s="20"/>
      <c r="J31" s="20"/>
      <c r="K31" s="20"/>
      <c r="L31" s="20"/>
      <c r="M31" s="20"/>
      <c r="N31" s="20"/>
    </row>
    <row r="32" customHeight="1" spans="1:14">
      <c r="A32" s="6"/>
      <c r="B32" s="37" t="s">
        <v>35</v>
      </c>
      <c r="C32" s="8" t="s">
        <v>219</v>
      </c>
      <c r="D32" s="9"/>
      <c r="E32" s="160">
        <v>196.99</v>
      </c>
      <c r="F32" s="79">
        <f t="shared" si="0"/>
        <v>21585.93</v>
      </c>
      <c r="G32" s="11">
        <f>H32+I32+J32+K32+L32+M32+N32</f>
        <v>21585.93</v>
      </c>
      <c r="H32" s="20">
        <v>0</v>
      </c>
      <c r="I32">
        <v>10058.7</v>
      </c>
      <c r="J32" s="20">
        <v>0</v>
      </c>
      <c r="K32" s="20">
        <v>0</v>
      </c>
      <c r="L32" s="20">
        <v>9544.23</v>
      </c>
      <c r="M32" s="20">
        <v>0</v>
      </c>
      <c r="N32" s="20">
        <f>1000+700+200+50+30+3</f>
        <v>1983</v>
      </c>
    </row>
    <row r="33" customHeight="1" spans="1:14">
      <c r="A33" s="22" t="s">
        <v>784</v>
      </c>
      <c r="B33" s="95" t="s">
        <v>785</v>
      </c>
      <c r="C33" s="96" t="s">
        <v>27</v>
      </c>
      <c r="D33" s="97"/>
      <c r="E33" s="98">
        <v>659.52</v>
      </c>
      <c r="F33" s="85">
        <f t="shared" si="0"/>
        <v>20926.41</v>
      </c>
      <c r="G33" s="63"/>
      <c r="H33" s="63"/>
      <c r="I33" s="63"/>
      <c r="J33" s="63"/>
      <c r="K33" s="63"/>
      <c r="L33" s="63"/>
      <c r="M33" s="63"/>
      <c r="N33" s="63"/>
    </row>
    <row r="34" customHeight="1" spans="1:14">
      <c r="A34" s="6"/>
      <c r="B34" s="7" t="s">
        <v>531</v>
      </c>
      <c r="C34" s="8" t="s">
        <v>224</v>
      </c>
      <c r="D34" s="9"/>
      <c r="E34" s="10">
        <v>46</v>
      </c>
      <c r="F34" s="79">
        <f t="shared" si="0"/>
        <v>20880.41</v>
      </c>
      <c r="G34" s="15"/>
      <c r="H34" s="15"/>
      <c r="I34" s="15"/>
      <c r="J34" s="15"/>
      <c r="K34" s="15"/>
      <c r="L34" s="15"/>
      <c r="M34" s="15"/>
      <c r="N34" s="15"/>
    </row>
    <row r="35" customHeight="1" spans="1:14">
      <c r="A35" s="6"/>
      <c r="B35" s="7" t="s">
        <v>650</v>
      </c>
      <c r="C35" s="8" t="s">
        <v>86</v>
      </c>
      <c r="D35" s="9"/>
      <c r="E35" s="10">
        <v>40</v>
      </c>
      <c r="F35" s="79">
        <f t="shared" si="0"/>
        <v>20840.41</v>
      </c>
      <c r="G35" s="15"/>
      <c r="H35" s="15"/>
      <c r="I35" s="15"/>
      <c r="J35" s="15"/>
      <c r="K35" s="15"/>
      <c r="L35" s="15"/>
      <c r="M35" s="15"/>
      <c r="N35" s="15"/>
    </row>
    <row r="36" customHeight="1" spans="1:6">
      <c r="A36" s="6" t="s">
        <v>786</v>
      </c>
      <c r="B36" s="7" t="s">
        <v>787</v>
      </c>
      <c r="C36" s="8" t="s">
        <v>219</v>
      </c>
      <c r="D36" s="9"/>
      <c r="E36" s="10">
        <v>20</v>
      </c>
      <c r="F36" s="79">
        <f t="shared" si="0"/>
        <v>20820.41</v>
      </c>
    </row>
    <row r="37" customHeight="1" spans="1:6">
      <c r="A37" s="6"/>
      <c r="B37" s="7" t="s">
        <v>285</v>
      </c>
      <c r="C37" s="8" t="s">
        <v>281</v>
      </c>
      <c r="D37" s="9"/>
      <c r="E37" s="10">
        <f>1934.5+1934.5</f>
        <v>3869</v>
      </c>
      <c r="F37" s="79">
        <f t="shared" si="0"/>
        <v>16951.41</v>
      </c>
    </row>
    <row r="38" customHeight="1" spans="1:6">
      <c r="A38" s="6"/>
      <c r="B38" s="7" t="s">
        <v>531</v>
      </c>
      <c r="C38" s="8" t="s">
        <v>224</v>
      </c>
      <c r="D38" s="9"/>
      <c r="E38" s="10">
        <v>27</v>
      </c>
      <c r="F38" s="79">
        <f t="shared" si="0"/>
        <v>16924.41</v>
      </c>
    </row>
    <row r="39" customHeight="1" spans="1:14">
      <c r="A39" s="6" t="s">
        <v>788</v>
      </c>
      <c r="B39" s="7" t="s">
        <v>21</v>
      </c>
      <c r="C39" s="8" t="s">
        <v>27</v>
      </c>
      <c r="D39" s="9"/>
      <c r="E39" s="10">
        <v>1286.2</v>
      </c>
      <c r="F39" s="79">
        <f t="shared" si="0"/>
        <v>15638.21</v>
      </c>
      <c r="G39" s="15"/>
      <c r="H39" s="15"/>
      <c r="I39" s="15"/>
      <c r="J39" s="15"/>
      <c r="K39" s="15"/>
      <c r="L39" s="15"/>
      <c r="M39" s="15"/>
      <c r="N39" s="15"/>
    </row>
    <row r="40" customHeight="1" spans="1:6">
      <c r="A40" s="6"/>
      <c r="B40" s="16" t="s">
        <v>789</v>
      </c>
      <c r="C40" s="17" t="s">
        <v>27</v>
      </c>
      <c r="D40" s="18"/>
      <c r="E40" s="19">
        <v>160</v>
      </c>
      <c r="F40" s="79">
        <f t="shared" si="0"/>
        <v>15478.21</v>
      </c>
    </row>
    <row r="41" customHeight="1" spans="1:6">
      <c r="A41" s="6" t="s">
        <v>790</v>
      </c>
      <c r="B41" s="16" t="s">
        <v>791</v>
      </c>
      <c r="C41" s="17"/>
      <c r="D41" s="18">
        <f>21+19</f>
        <v>40</v>
      </c>
      <c r="E41" s="10"/>
      <c r="F41" s="79">
        <f t="shared" si="0"/>
        <v>15518.21</v>
      </c>
    </row>
    <row r="42" customHeight="1" spans="1:6">
      <c r="A42" s="6"/>
      <c r="B42" s="7" t="s">
        <v>792</v>
      </c>
      <c r="C42" s="8" t="s">
        <v>201</v>
      </c>
      <c r="D42" s="9"/>
      <c r="E42" s="10">
        <v>200</v>
      </c>
      <c r="F42" s="79">
        <f t="shared" si="0"/>
        <v>15318.21</v>
      </c>
    </row>
    <row r="43" customHeight="1" spans="1:6">
      <c r="A43" s="6"/>
      <c r="B43" s="7" t="s">
        <v>793</v>
      </c>
      <c r="C43" s="8" t="s">
        <v>245</v>
      </c>
      <c r="D43" s="9"/>
      <c r="E43" s="10">
        <v>1200</v>
      </c>
      <c r="F43" s="79">
        <f t="shared" si="0"/>
        <v>14118.21</v>
      </c>
    </row>
    <row r="44" customHeight="1" spans="1:14">
      <c r="A44" s="22" t="s">
        <v>794</v>
      </c>
      <c r="B44" s="23" t="s">
        <v>459</v>
      </c>
      <c r="C44" s="24"/>
      <c r="D44" s="25">
        <v>800</v>
      </c>
      <c r="E44" s="26"/>
      <c r="F44" s="85">
        <f t="shared" si="0"/>
        <v>14918.21</v>
      </c>
      <c r="G44" s="38"/>
      <c r="H44" s="63"/>
      <c r="I44" s="147"/>
      <c r="J44" s="63"/>
      <c r="K44" s="63"/>
      <c r="L44" s="38"/>
      <c r="M44" s="63"/>
      <c r="N44" s="63"/>
    </row>
    <row r="45" customHeight="1" spans="1:14">
      <c r="A45" s="6"/>
      <c r="B45" s="7" t="s">
        <v>795</v>
      </c>
      <c r="C45" s="8"/>
      <c r="D45" s="9">
        <v>50</v>
      </c>
      <c r="E45" s="10"/>
      <c r="F45" s="79">
        <f t="shared" si="0"/>
        <v>14968.21</v>
      </c>
      <c r="G45" s="15"/>
      <c r="H45" s="15"/>
      <c r="I45" s="15"/>
      <c r="J45" s="15"/>
      <c r="K45" s="15"/>
      <c r="L45" s="15"/>
      <c r="M45" s="15"/>
      <c r="N45" s="15"/>
    </row>
    <row r="46" customHeight="1" spans="1:14">
      <c r="A46" s="6"/>
      <c r="B46" s="7"/>
      <c r="C46" s="8" t="s">
        <v>219</v>
      </c>
      <c r="D46" s="9"/>
      <c r="E46" s="10">
        <v>200</v>
      </c>
      <c r="F46" s="79">
        <f t="shared" si="0"/>
        <v>14768.21</v>
      </c>
      <c r="G46" s="15"/>
      <c r="H46" s="15"/>
      <c r="I46" s="15"/>
      <c r="J46" s="15"/>
      <c r="K46" s="15"/>
      <c r="L46" s="15"/>
      <c r="M46" s="15"/>
      <c r="N46" s="15"/>
    </row>
    <row r="47" customHeight="1" spans="1:14">
      <c r="A47" s="6"/>
      <c r="B47" s="7" t="s">
        <v>796</v>
      </c>
      <c r="C47" s="8" t="s">
        <v>224</v>
      </c>
      <c r="D47" s="9"/>
      <c r="E47" s="10">
        <v>60</v>
      </c>
      <c r="F47" s="79">
        <f t="shared" si="0"/>
        <v>14708.21</v>
      </c>
      <c r="G47" s="15"/>
      <c r="H47" s="15"/>
      <c r="I47" s="15"/>
      <c r="J47" s="15"/>
      <c r="K47" s="15"/>
      <c r="L47" s="15"/>
      <c r="M47" s="15"/>
      <c r="N47" s="15"/>
    </row>
    <row r="48" customHeight="1" spans="1:14">
      <c r="A48" s="130"/>
      <c r="B48" s="16" t="s">
        <v>268</v>
      </c>
      <c r="C48" s="17" t="s">
        <v>86</v>
      </c>
      <c r="D48" s="18"/>
      <c r="E48" s="19">
        <v>431</v>
      </c>
      <c r="F48" s="79">
        <f t="shared" si="0"/>
        <v>14277.21</v>
      </c>
      <c r="G48" s="20"/>
      <c r="H48" s="20"/>
      <c r="I48" s="20"/>
      <c r="J48" s="20"/>
      <c r="K48" s="20"/>
      <c r="L48" s="20"/>
      <c r="M48" s="20"/>
      <c r="N48" s="20"/>
    </row>
    <row r="49" customHeight="1" spans="1:14">
      <c r="A49" s="6"/>
      <c r="B49" s="7" t="s">
        <v>797</v>
      </c>
      <c r="C49" s="8" t="s">
        <v>245</v>
      </c>
      <c r="D49" s="9"/>
      <c r="E49" s="10">
        <v>600</v>
      </c>
      <c r="F49" s="79">
        <f t="shared" si="0"/>
        <v>13677.21</v>
      </c>
      <c r="G49" s="20">
        <f>ABS(G50-F50)</f>
        <v>0</v>
      </c>
      <c r="H49" s="20"/>
      <c r="I49" s="20"/>
      <c r="J49" s="20"/>
      <c r="K49" s="20"/>
      <c r="L49" s="20"/>
      <c r="M49" s="20"/>
      <c r="N49" s="20"/>
    </row>
    <row r="50" customHeight="1" spans="1:14">
      <c r="A50" s="6"/>
      <c r="B50" s="7" t="s">
        <v>798</v>
      </c>
      <c r="C50" s="8" t="s">
        <v>219</v>
      </c>
      <c r="D50" s="9"/>
      <c r="E50" s="10">
        <v>400</v>
      </c>
      <c r="F50" s="79">
        <f t="shared" si="0"/>
        <v>13277.21</v>
      </c>
      <c r="G50" s="11">
        <f>H50+I50+J50+K50+L50+M50+N50</f>
        <v>13277.21</v>
      </c>
      <c r="H50" s="20">
        <v>0</v>
      </c>
      <c r="I50">
        <v>6848.18</v>
      </c>
      <c r="J50" s="20">
        <v>0</v>
      </c>
      <c r="K50" s="20">
        <v>0</v>
      </c>
      <c r="L50" s="20">
        <v>4676.03</v>
      </c>
      <c r="M50" s="20">
        <v>0</v>
      </c>
      <c r="N50" s="20">
        <f>500+200+50+1000+3</f>
        <v>1753</v>
      </c>
    </row>
    <row r="51" customHeight="1" spans="1:14">
      <c r="A51" s="22" t="s">
        <v>799</v>
      </c>
      <c r="B51" s="23" t="s">
        <v>800</v>
      </c>
      <c r="C51" s="24" t="s">
        <v>27</v>
      </c>
      <c r="D51" s="25"/>
      <c r="E51" s="26">
        <v>184.19</v>
      </c>
      <c r="F51" s="85">
        <f t="shared" si="0"/>
        <v>13093.02</v>
      </c>
      <c r="G51" s="38"/>
      <c r="H51" s="38"/>
      <c r="I51" s="38"/>
      <c r="J51" s="38"/>
      <c r="K51" s="38"/>
      <c r="L51" s="38"/>
      <c r="M51" s="38"/>
      <c r="N51" s="38"/>
    </row>
    <row r="52" customHeight="1" spans="1:14">
      <c r="A52" s="36"/>
      <c r="B52" s="16" t="s">
        <v>321</v>
      </c>
      <c r="C52" s="17" t="s">
        <v>214</v>
      </c>
      <c r="D52" s="18"/>
      <c r="E52" s="19">
        <v>75</v>
      </c>
      <c r="F52" s="79">
        <f t="shared" si="0"/>
        <v>13018.02</v>
      </c>
      <c r="G52" s="11"/>
      <c r="H52" s="20"/>
      <c r="J52" s="20"/>
      <c r="K52" s="20"/>
      <c r="L52" s="20"/>
      <c r="M52" s="20"/>
      <c r="N52" s="20"/>
    </row>
    <row r="53" customHeight="1" spans="1:14">
      <c r="A53" s="6" t="s">
        <v>801</v>
      </c>
      <c r="B53" s="7" t="s">
        <v>802</v>
      </c>
      <c r="C53" s="8" t="s">
        <v>54</v>
      </c>
      <c r="D53" s="9"/>
      <c r="E53" s="10">
        <v>257</v>
      </c>
      <c r="F53" s="79">
        <f t="shared" si="0"/>
        <v>12761.02</v>
      </c>
      <c r="G53" s="11"/>
      <c r="H53" s="20"/>
      <c r="I53" s="20"/>
      <c r="J53" s="20"/>
      <c r="K53" s="20"/>
      <c r="L53" s="20"/>
      <c r="M53" s="20"/>
      <c r="N53" s="20"/>
    </row>
    <row r="54" customHeight="1" spans="1:14">
      <c r="A54" s="6"/>
      <c r="B54" s="7" t="s">
        <v>803</v>
      </c>
      <c r="C54" s="8" t="s">
        <v>27</v>
      </c>
      <c r="D54" s="9"/>
      <c r="E54" s="10">
        <v>1046.75</v>
      </c>
      <c r="F54" s="79">
        <f t="shared" si="0"/>
        <v>11714.27</v>
      </c>
      <c r="G54" s="11"/>
      <c r="H54" s="20"/>
      <c r="I54" s="20"/>
      <c r="J54" s="20"/>
      <c r="K54" s="20"/>
      <c r="L54" s="20"/>
      <c r="M54" s="20"/>
      <c r="N54" s="20"/>
    </row>
    <row r="55" customHeight="1" spans="1:14">
      <c r="A55" s="36"/>
      <c r="B55" s="16" t="s">
        <v>804</v>
      </c>
      <c r="C55" s="17" t="s">
        <v>27</v>
      </c>
      <c r="D55" s="18"/>
      <c r="E55" s="19">
        <v>1944.43</v>
      </c>
      <c r="F55" s="79">
        <f t="shared" si="0"/>
        <v>9769.83999999999</v>
      </c>
      <c r="G55" s="20">
        <f>ABS(G56-F56)</f>
        <v>183.239999999994</v>
      </c>
      <c r="H55" s="20"/>
      <c r="I55" s="20"/>
      <c r="J55" s="20"/>
      <c r="K55" s="20"/>
      <c r="L55" s="20"/>
      <c r="M55" s="20"/>
      <c r="N55" s="20"/>
    </row>
    <row r="56" customHeight="1" spans="1:14">
      <c r="A56" s="6"/>
      <c r="B56" s="7" t="s">
        <v>19</v>
      </c>
      <c r="C56" s="8" t="s">
        <v>27</v>
      </c>
      <c r="D56" s="9"/>
      <c r="E56" s="10">
        <v>60</v>
      </c>
      <c r="F56" s="79">
        <f t="shared" si="0"/>
        <v>9709.83999999999</v>
      </c>
      <c r="G56" s="11">
        <f>H56+I56+J56+K56+L56+M56+N56</f>
        <v>9526.6</v>
      </c>
      <c r="H56" s="20">
        <v>0</v>
      </c>
      <c r="I56">
        <f>3328.75-183.24</f>
        <v>3145.51</v>
      </c>
      <c r="J56" s="20">
        <v>0</v>
      </c>
      <c r="K56" s="20">
        <v>0</v>
      </c>
      <c r="L56" s="20">
        <v>4688.09</v>
      </c>
      <c r="M56" s="20">
        <v>0</v>
      </c>
      <c r="N56" s="20">
        <f>(100*10)+500+100+50+40+3</f>
        <v>1693</v>
      </c>
    </row>
    <row r="57" customHeight="1" spans="1:14">
      <c r="A57" s="129" t="s">
        <v>805</v>
      </c>
      <c r="B57" s="95" t="s">
        <v>806</v>
      </c>
      <c r="C57" s="96" t="s">
        <v>27</v>
      </c>
      <c r="D57" s="97"/>
      <c r="E57" s="98">
        <v>183.24</v>
      </c>
      <c r="F57" s="85">
        <f t="shared" si="0"/>
        <v>9526.59999999999</v>
      </c>
      <c r="G57" s="27"/>
      <c r="H57" s="38"/>
      <c r="I57" s="100"/>
      <c r="J57" s="38"/>
      <c r="K57" s="38"/>
      <c r="L57" s="38"/>
      <c r="M57" s="38"/>
      <c r="N57" s="38"/>
    </row>
    <row r="58" customHeight="1" spans="1:14">
      <c r="A58" s="36"/>
      <c r="B58" s="7" t="s">
        <v>226</v>
      </c>
      <c r="C58" s="8" t="s">
        <v>27</v>
      </c>
      <c r="D58" s="9"/>
      <c r="E58" s="10">
        <v>281.99</v>
      </c>
      <c r="F58" s="79">
        <f t="shared" si="0"/>
        <v>9244.61</v>
      </c>
      <c r="G58" s="12"/>
      <c r="H58" s="13"/>
      <c r="I58" s="13"/>
      <c r="J58" s="13"/>
      <c r="K58" s="13"/>
      <c r="L58" s="13"/>
      <c r="M58" s="13"/>
      <c r="N58" s="13"/>
    </row>
    <row r="59" customHeight="1" spans="1:14">
      <c r="A59" s="6" t="s">
        <v>807</v>
      </c>
      <c r="B59" s="7" t="s">
        <v>808</v>
      </c>
      <c r="C59" s="8" t="s">
        <v>214</v>
      </c>
      <c r="D59" s="9"/>
      <c r="E59" s="10">
        <v>380</v>
      </c>
      <c r="F59" s="79">
        <f t="shared" si="0"/>
        <v>8864.61</v>
      </c>
      <c r="G59" s="12"/>
      <c r="H59" s="13"/>
      <c r="I59" s="13"/>
      <c r="J59" s="13"/>
      <c r="K59" s="13"/>
      <c r="L59" s="13"/>
      <c r="M59" s="13"/>
      <c r="N59" s="13"/>
    </row>
    <row r="60" customHeight="1" spans="1:14">
      <c r="A60" s="36"/>
      <c r="B60" s="7" t="s">
        <v>809</v>
      </c>
      <c r="C60" s="8" t="s">
        <v>214</v>
      </c>
      <c r="D60" s="9"/>
      <c r="E60" s="10">
        <v>381.9</v>
      </c>
      <c r="F60" s="79">
        <f t="shared" si="0"/>
        <v>8482.71</v>
      </c>
      <c r="G60" s="12"/>
      <c r="H60" s="13"/>
      <c r="I60" s="13"/>
      <c r="J60" s="13"/>
      <c r="K60" s="13"/>
      <c r="L60" s="13"/>
      <c r="M60" s="13"/>
      <c r="N60" s="13"/>
    </row>
    <row r="61" customHeight="1" spans="1:14">
      <c r="A61" s="6"/>
      <c r="B61" s="7" t="s">
        <v>531</v>
      </c>
      <c r="C61" s="8" t="s">
        <v>224</v>
      </c>
      <c r="D61" s="9"/>
      <c r="E61" s="10">
        <v>18</v>
      </c>
      <c r="F61" s="79">
        <f t="shared" si="0"/>
        <v>8464.71</v>
      </c>
      <c r="G61" s="12"/>
      <c r="H61" s="13"/>
      <c r="I61" s="13"/>
      <c r="J61" s="13"/>
      <c r="K61" s="13"/>
      <c r="L61" s="13"/>
      <c r="M61" s="13"/>
      <c r="N61" s="13"/>
    </row>
    <row r="62" customHeight="1" spans="1:14">
      <c r="A62" s="6"/>
      <c r="B62" s="7" t="s">
        <v>792</v>
      </c>
      <c r="C62" s="8" t="s">
        <v>201</v>
      </c>
      <c r="D62" s="9"/>
      <c r="E62" s="10">
        <v>200</v>
      </c>
      <c r="F62" s="79">
        <f t="shared" si="0"/>
        <v>8264.71</v>
      </c>
      <c r="G62" s="12"/>
      <c r="H62" s="13"/>
      <c r="I62" s="13"/>
      <c r="J62" s="13"/>
      <c r="K62" s="13"/>
      <c r="L62" s="13"/>
      <c r="M62" s="13"/>
      <c r="N62" s="13"/>
    </row>
    <row r="63" customHeight="1" spans="1:14">
      <c r="A63" s="22" t="s">
        <v>810</v>
      </c>
      <c r="B63" s="23" t="s">
        <v>531</v>
      </c>
      <c r="C63" s="24" t="s">
        <v>224</v>
      </c>
      <c r="D63" s="25"/>
      <c r="E63" s="26">
        <v>19</v>
      </c>
      <c r="F63" s="85">
        <f t="shared" si="0"/>
        <v>8245.71</v>
      </c>
      <c r="G63" s="148"/>
      <c r="H63" s="147"/>
      <c r="I63" s="147"/>
      <c r="J63" s="147"/>
      <c r="K63" s="147"/>
      <c r="L63" s="147"/>
      <c r="M63" s="147"/>
      <c r="N63" s="147"/>
    </row>
    <row r="64" customHeight="1" spans="1:14">
      <c r="A64" s="36"/>
      <c r="B64" s="7" t="s">
        <v>650</v>
      </c>
      <c r="C64" s="8" t="s">
        <v>86</v>
      </c>
      <c r="D64" s="9"/>
      <c r="E64" s="10">
        <v>60</v>
      </c>
      <c r="F64" s="79">
        <f t="shared" si="0"/>
        <v>8185.71</v>
      </c>
      <c r="G64" s="12"/>
      <c r="H64" s="13"/>
      <c r="I64" s="13"/>
      <c r="J64" s="13"/>
      <c r="K64" s="13"/>
      <c r="L64" s="13"/>
      <c r="M64" s="13"/>
      <c r="N64" s="13"/>
    </row>
    <row r="65" customHeight="1" spans="1:14">
      <c r="A65" s="36"/>
      <c r="B65" s="16" t="s">
        <v>59</v>
      </c>
      <c r="C65" s="17" t="s">
        <v>86</v>
      </c>
      <c r="D65" s="18"/>
      <c r="E65" s="19">
        <v>304</v>
      </c>
      <c r="F65" s="79">
        <f t="shared" si="0"/>
        <v>7881.71</v>
      </c>
      <c r="G65" s="12"/>
      <c r="H65" s="13"/>
      <c r="I65" s="13"/>
      <c r="J65" s="13"/>
      <c r="K65" s="13"/>
      <c r="L65" s="13"/>
      <c r="M65" s="13"/>
      <c r="N65" s="13"/>
    </row>
    <row r="66" customHeight="1" spans="1:14">
      <c r="A66" s="36"/>
      <c r="B66" s="16" t="s">
        <v>811</v>
      </c>
      <c r="C66" s="17" t="s">
        <v>224</v>
      </c>
      <c r="D66" s="18"/>
      <c r="E66" s="19">
        <v>359.49</v>
      </c>
      <c r="F66" s="79">
        <f t="shared" si="0"/>
        <v>7522.22</v>
      </c>
      <c r="G66" s="12"/>
      <c r="H66" s="13"/>
      <c r="I66" s="13"/>
      <c r="J66" s="13"/>
      <c r="K66" s="13"/>
      <c r="L66" s="13"/>
      <c r="M66" s="13"/>
      <c r="N66" s="13"/>
    </row>
    <row r="67" customHeight="1" spans="1:14">
      <c r="A67" s="36"/>
      <c r="B67" s="16" t="s">
        <v>812</v>
      </c>
      <c r="C67" s="17"/>
      <c r="D67" s="18">
        <v>30</v>
      </c>
      <c r="E67" s="19"/>
      <c r="F67" s="79">
        <f t="shared" si="0"/>
        <v>7552.22</v>
      </c>
      <c r="G67" s="12"/>
      <c r="H67" s="13"/>
      <c r="I67" s="13"/>
      <c r="J67" s="13"/>
      <c r="K67" s="13"/>
      <c r="L67" s="13"/>
      <c r="M67" s="13"/>
      <c r="N67" s="13"/>
    </row>
    <row r="68" customHeight="1" spans="1:14">
      <c r="A68" s="129" t="s">
        <v>813</v>
      </c>
      <c r="B68" s="95" t="s">
        <v>814</v>
      </c>
      <c r="C68" s="96" t="s">
        <v>27</v>
      </c>
      <c r="D68" s="97"/>
      <c r="E68" s="98">
        <v>529</v>
      </c>
      <c r="F68" s="85">
        <f t="shared" si="0"/>
        <v>7023.22</v>
      </c>
      <c r="G68" s="107"/>
      <c r="H68" s="148"/>
      <c r="I68" s="138"/>
      <c r="J68" s="148"/>
      <c r="K68" s="148"/>
      <c r="L68" s="148"/>
      <c r="M68" s="148"/>
      <c r="N68" s="148"/>
    </row>
    <row r="69" customHeight="1" spans="1:14">
      <c r="A69" s="6" t="s">
        <v>815</v>
      </c>
      <c r="B69" s="7"/>
      <c r="C69" s="8" t="s">
        <v>219</v>
      </c>
      <c r="D69" s="9"/>
      <c r="E69" s="10">
        <v>200</v>
      </c>
      <c r="F69" s="79">
        <f t="shared" si="0"/>
        <v>6823.22</v>
      </c>
      <c r="G69" s="15"/>
      <c r="H69" s="20"/>
      <c r="I69" s="20"/>
      <c r="J69" s="20"/>
      <c r="K69" s="20"/>
      <c r="L69" s="15"/>
      <c r="M69" s="20"/>
      <c r="N69" s="15"/>
    </row>
    <row r="70" customHeight="1" spans="1:14">
      <c r="A70" s="6"/>
      <c r="B70" s="7" t="s">
        <v>816</v>
      </c>
      <c r="C70" s="8" t="s">
        <v>27</v>
      </c>
      <c r="D70" s="9"/>
      <c r="E70" s="10">
        <f>279.52-59</f>
        <v>220.52</v>
      </c>
      <c r="F70" s="79">
        <f t="shared" si="0"/>
        <v>6602.7</v>
      </c>
      <c r="G70" s="20">
        <f>ABS(G71-F71)</f>
        <v>4.54747350886464e-12</v>
      </c>
      <c r="H70" s="20"/>
      <c r="I70" s="20"/>
      <c r="J70" s="20"/>
      <c r="K70" s="20"/>
      <c r="L70" s="20"/>
      <c r="M70" s="20"/>
      <c r="N70" s="20"/>
    </row>
    <row r="71" customHeight="1" spans="1:14">
      <c r="A71" s="6"/>
      <c r="B71" s="7" t="s">
        <v>817</v>
      </c>
      <c r="C71" s="8" t="s">
        <v>214</v>
      </c>
      <c r="D71" s="9"/>
      <c r="E71" s="10">
        <v>2</v>
      </c>
      <c r="F71" s="79">
        <f t="shared" si="0"/>
        <v>6600.7</v>
      </c>
      <c r="G71" s="11">
        <f>H71+I71+J71+K71+L71+M71+N71</f>
        <v>6600.7</v>
      </c>
      <c r="H71" s="20">
        <v>0</v>
      </c>
      <c r="I71" s="64">
        <v>1983.02</v>
      </c>
      <c r="J71" s="20">
        <v>0</v>
      </c>
      <c r="K71" s="20">
        <v>0</v>
      </c>
      <c r="L71" s="20">
        <v>3704.68</v>
      </c>
      <c r="M71" s="20">
        <v>0</v>
      </c>
      <c r="N71" s="20">
        <f>(100*8)+(50*2)+10+3</f>
        <v>913</v>
      </c>
    </row>
    <row r="72" customHeight="1" spans="1:14">
      <c r="A72" s="80"/>
      <c r="B72" s="95" t="s">
        <v>500</v>
      </c>
      <c r="C72" s="96"/>
      <c r="D72" s="97">
        <v>2500</v>
      </c>
      <c r="E72" s="84"/>
      <c r="F72" s="85">
        <f t="shared" si="0"/>
        <v>9100.7</v>
      </c>
      <c r="G72" s="63"/>
      <c r="H72" s="63"/>
      <c r="I72" s="63"/>
      <c r="J72" s="63"/>
      <c r="K72" s="63"/>
      <c r="L72" s="63"/>
      <c r="M72" s="63"/>
      <c r="N72" s="147"/>
    </row>
    <row r="73" customHeight="1" spans="1:14">
      <c r="A73" s="73" t="s">
        <v>818</v>
      </c>
      <c r="B73" s="74" t="s">
        <v>819</v>
      </c>
      <c r="C73" s="75" t="s">
        <v>27</v>
      </c>
      <c r="D73" s="76"/>
      <c r="E73" s="78">
        <v>451.32</v>
      </c>
      <c r="F73" s="79">
        <f t="shared" si="0"/>
        <v>8649.38</v>
      </c>
      <c r="G73" s="15"/>
      <c r="H73" s="15"/>
      <c r="I73" s="15"/>
      <c r="J73" s="15"/>
      <c r="K73" s="15"/>
      <c r="L73" s="15"/>
      <c r="M73" s="15"/>
      <c r="N73" s="15"/>
    </row>
    <row r="74" customHeight="1" spans="1:14">
      <c r="A74" s="73"/>
      <c r="B74" s="74" t="s">
        <v>820</v>
      </c>
      <c r="C74" s="75" t="s">
        <v>219</v>
      </c>
      <c r="D74" s="76"/>
      <c r="E74" s="78">
        <f>100+245</f>
        <v>345</v>
      </c>
      <c r="F74" s="79">
        <f t="shared" si="0"/>
        <v>8304.38</v>
      </c>
      <c r="G74" s="20"/>
      <c r="H74" s="20"/>
      <c r="I74" s="20"/>
      <c r="J74" s="20"/>
      <c r="K74" s="20"/>
      <c r="L74" s="20"/>
      <c r="M74" s="20"/>
      <c r="N74" s="20"/>
    </row>
    <row r="75" customHeight="1" spans="1:14">
      <c r="A75" s="73" t="s">
        <v>821</v>
      </c>
      <c r="B75" s="74" t="s">
        <v>822</v>
      </c>
      <c r="C75" s="75" t="s">
        <v>27</v>
      </c>
      <c r="D75" s="76"/>
      <c r="E75" s="78">
        <v>545.05</v>
      </c>
      <c r="F75" s="79">
        <f t="shared" si="0"/>
        <v>7759.33</v>
      </c>
      <c r="G75" s="11"/>
      <c r="H75" s="20"/>
      <c r="I75" s="64"/>
      <c r="J75" s="20"/>
      <c r="K75" s="20"/>
      <c r="L75" s="20"/>
      <c r="M75" s="20"/>
      <c r="N75" s="20"/>
    </row>
    <row r="76" customHeight="1" spans="1:14">
      <c r="A76" s="73"/>
      <c r="B76" s="74" t="s">
        <v>19</v>
      </c>
      <c r="C76" s="75" t="s">
        <v>27</v>
      </c>
      <c r="D76" s="76"/>
      <c r="E76" s="78">
        <v>100</v>
      </c>
      <c r="F76" s="79">
        <f t="shared" si="0"/>
        <v>7659.33</v>
      </c>
      <c r="G76" s="15"/>
      <c r="H76" s="15"/>
      <c r="I76" s="15"/>
      <c r="J76" s="15"/>
      <c r="K76" s="15"/>
      <c r="L76" s="15"/>
      <c r="M76" s="15"/>
      <c r="N76" s="15"/>
    </row>
    <row r="77" customHeight="1" spans="1:6">
      <c r="A77" s="36" t="s">
        <v>823</v>
      </c>
      <c r="B77" s="16" t="s">
        <v>824</v>
      </c>
      <c r="C77" s="17" t="s">
        <v>27</v>
      </c>
      <c r="D77" s="18"/>
      <c r="E77" s="19">
        <v>390.57</v>
      </c>
      <c r="F77" s="79">
        <f t="shared" si="0"/>
        <v>7268.76</v>
      </c>
    </row>
    <row r="78" customHeight="1" spans="1:14">
      <c r="A78" s="36"/>
      <c r="B78" s="16" t="s">
        <v>17</v>
      </c>
      <c r="C78" s="17" t="s">
        <v>86</v>
      </c>
      <c r="D78" s="18"/>
      <c r="E78" s="19">
        <v>154</v>
      </c>
      <c r="F78" s="79">
        <f t="shared" si="0"/>
        <v>7114.76</v>
      </c>
      <c r="G78" s="20"/>
      <c r="H78" s="20"/>
      <c r="I78" s="20"/>
      <c r="J78" s="20"/>
      <c r="K78" s="20"/>
      <c r="L78" s="20"/>
      <c r="M78" s="20"/>
      <c r="N78" s="20"/>
    </row>
    <row r="79" customHeight="1" spans="1:14">
      <c r="A79" s="6"/>
      <c r="B79" s="7" t="s">
        <v>531</v>
      </c>
      <c r="C79" s="8" t="s">
        <v>224</v>
      </c>
      <c r="D79" s="9"/>
      <c r="E79" s="10">
        <v>20</v>
      </c>
      <c r="F79" s="79">
        <f t="shared" si="0"/>
        <v>7094.76</v>
      </c>
      <c r="G79" s="20">
        <f>ABS(G80-F80)</f>
        <v>4.54747350886464e-12</v>
      </c>
      <c r="H79" s="20"/>
      <c r="I79" s="20"/>
      <c r="J79" s="20"/>
      <c r="K79" s="20"/>
      <c r="L79" s="20"/>
      <c r="M79" s="20"/>
      <c r="N79" s="20"/>
    </row>
    <row r="80" customHeight="1" spans="1:14">
      <c r="A80" s="6"/>
      <c r="B80" s="37" t="s">
        <v>127</v>
      </c>
      <c r="C80" s="8" t="s">
        <v>219</v>
      </c>
      <c r="D80" s="9"/>
      <c r="E80" s="10">
        <v>80</v>
      </c>
      <c r="F80" s="79">
        <f t="shared" si="0"/>
        <v>7014.76</v>
      </c>
      <c r="G80" s="11">
        <f>H80+I80+J80+K80+L80+M80+N80</f>
        <v>7014.76</v>
      </c>
      <c r="H80" s="20">
        <v>0</v>
      </c>
      <c r="I80" s="20">
        <v>3938.45</v>
      </c>
      <c r="J80" s="20">
        <v>0</v>
      </c>
      <c r="K80" s="20">
        <v>0</v>
      </c>
      <c r="L80" s="20">
        <v>2243.31</v>
      </c>
      <c r="M80" s="20">
        <v>0</v>
      </c>
      <c r="N80" s="20">
        <f>(100*8)+20+10+3</f>
        <v>833</v>
      </c>
    </row>
    <row r="81" customHeight="1" spans="1:14">
      <c r="A81" s="6" t="s">
        <v>825</v>
      </c>
      <c r="B81" s="7" t="s">
        <v>650</v>
      </c>
      <c r="C81" s="8" t="s">
        <v>86</v>
      </c>
      <c r="D81" s="9"/>
      <c r="E81" s="10">
        <v>60</v>
      </c>
      <c r="F81" s="79">
        <f t="shared" si="0"/>
        <v>6954.76</v>
      </c>
      <c r="G81" s="11"/>
      <c r="H81" s="20"/>
      <c r="I81" s="139"/>
      <c r="J81" s="20"/>
      <c r="K81" s="20"/>
      <c r="L81" s="20"/>
      <c r="M81" s="20"/>
      <c r="N81" s="20"/>
    </row>
    <row r="82" customHeight="1" spans="1:14">
      <c r="A82" s="6"/>
      <c r="B82" s="7" t="s">
        <v>826</v>
      </c>
      <c r="C82" s="8" t="s">
        <v>214</v>
      </c>
      <c r="D82" s="9"/>
      <c r="E82" s="10">
        <v>244.15</v>
      </c>
      <c r="F82" s="79">
        <f t="shared" si="0"/>
        <v>6710.61</v>
      </c>
      <c r="G82" s="20"/>
      <c r="H82" s="20"/>
      <c r="I82" s="20"/>
      <c r="J82" s="20"/>
      <c r="K82" s="20"/>
      <c r="L82" s="20"/>
      <c r="M82" s="20"/>
      <c r="N82" s="20"/>
    </row>
    <row r="83" customHeight="1" spans="1:14">
      <c r="A83" s="6"/>
      <c r="B83" s="7" t="s">
        <v>33</v>
      </c>
      <c r="C83" s="8" t="s">
        <v>201</v>
      </c>
      <c r="D83" s="9"/>
      <c r="E83" s="10">
        <v>200</v>
      </c>
      <c r="F83" s="79">
        <f t="shared" si="0"/>
        <v>6510.61</v>
      </c>
      <c r="G83" s="20"/>
      <c r="H83" s="20"/>
      <c r="I83" s="20"/>
      <c r="J83" s="20"/>
      <c r="K83" s="20"/>
      <c r="L83" s="20"/>
      <c r="M83" s="20"/>
      <c r="N83" s="20"/>
    </row>
    <row r="84" customHeight="1" spans="1:14">
      <c r="A84" s="6"/>
      <c r="B84" s="7" t="s">
        <v>827</v>
      </c>
      <c r="C84" s="8" t="s">
        <v>27</v>
      </c>
      <c r="D84" s="9"/>
      <c r="E84" s="10">
        <v>118.99</v>
      </c>
      <c r="F84" s="79">
        <f t="shared" si="0"/>
        <v>6391.62</v>
      </c>
      <c r="G84" s="11"/>
      <c r="H84" s="20"/>
      <c r="I84" s="20"/>
      <c r="J84" s="20"/>
      <c r="K84" s="20"/>
      <c r="L84" s="20"/>
      <c r="M84" s="20"/>
      <c r="N84" s="20"/>
    </row>
    <row r="85" customHeight="1" spans="1:14">
      <c r="A85" s="36"/>
      <c r="B85" s="16" t="s">
        <v>828</v>
      </c>
      <c r="C85" s="17" t="s">
        <v>27</v>
      </c>
      <c r="D85" s="18"/>
      <c r="E85" s="19">
        <v>653.21</v>
      </c>
      <c r="F85" s="79">
        <f t="shared" si="0"/>
        <v>5738.41</v>
      </c>
      <c r="G85" s="11"/>
      <c r="H85" s="20"/>
      <c r="I85" s="13"/>
      <c r="J85" s="20"/>
      <c r="K85" s="20"/>
      <c r="L85" s="20"/>
      <c r="M85" s="20"/>
      <c r="N85" s="20"/>
    </row>
    <row r="86" customHeight="1" spans="1:14">
      <c r="A86" s="36" t="s">
        <v>829</v>
      </c>
      <c r="B86" s="16" t="s">
        <v>59</v>
      </c>
      <c r="C86" s="17" t="s">
        <v>86</v>
      </c>
      <c r="D86" s="18"/>
      <c r="E86" s="19">
        <v>335</v>
      </c>
      <c r="F86" s="79">
        <f t="shared" si="0"/>
        <v>5403.41</v>
      </c>
      <c r="G86" s="20"/>
      <c r="H86" s="20"/>
      <c r="I86" s="20"/>
      <c r="J86" s="20"/>
      <c r="K86" s="20"/>
      <c r="L86" s="20"/>
      <c r="M86" s="20"/>
      <c r="N86" s="20"/>
    </row>
    <row r="87" customHeight="1" spans="1:14">
      <c r="A87" s="36"/>
      <c r="B87" s="16" t="s">
        <v>37</v>
      </c>
      <c r="C87" s="17" t="s">
        <v>86</v>
      </c>
      <c r="D87" s="18"/>
      <c r="E87" s="19">
        <v>325</v>
      </c>
      <c r="F87" s="79">
        <f t="shared" si="0"/>
        <v>5078.41</v>
      </c>
      <c r="G87" s="11"/>
      <c r="H87" s="20"/>
      <c r="I87" s="139"/>
      <c r="J87" s="20"/>
      <c r="K87" s="20"/>
      <c r="L87" s="20"/>
      <c r="M87" s="20"/>
      <c r="N87" s="20"/>
    </row>
    <row r="88" customHeight="1" spans="1:6">
      <c r="A88" s="36" t="s">
        <v>830</v>
      </c>
      <c r="B88" s="16" t="s">
        <v>59</v>
      </c>
      <c r="C88" s="17" t="s">
        <v>86</v>
      </c>
      <c r="D88" s="18"/>
      <c r="E88" s="19">
        <v>596</v>
      </c>
      <c r="F88" s="79">
        <f t="shared" si="0"/>
        <v>4482.41</v>
      </c>
    </row>
    <row r="89" customHeight="1" spans="1:14">
      <c r="A89" s="36"/>
      <c r="B89" s="16" t="s">
        <v>831</v>
      </c>
      <c r="C89" s="17" t="s">
        <v>27</v>
      </c>
      <c r="D89" s="18"/>
      <c r="E89" s="19">
        <v>372.2</v>
      </c>
      <c r="F89" s="79">
        <f t="shared" si="0"/>
        <v>4110.21</v>
      </c>
      <c r="G89" s="20">
        <f>ABS(G90-F90)</f>
        <v>3.63797880709171e-12</v>
      </c>
      <c r="H89" s="20"/>
      <c r="I89" s="20"/>
      <c r="J89" s="20"/>
      <c r="K89" s="20"/>
      <c r="L89" s="20"/>
      <c r="M89" s="20"/>
      <c r="N89" s="20"/>
    </row>
    <row r="90" customHeight="1" spans="1:14">
      <c r="A90" s="161" t="s">
        <v>832</v>
      </c>
      <c r="B90" s="16" t="s">
        <v>833</v>
      </c>
      <c r="C90" s="17" t="s">
        <v>27</v>
      </c>
      <c r="D90" s="18"/>
      <c r="E90" s="19">
        <v>364</v>
      </c>
      <c r="F90" s="79">
        <f t="shared" si="0"/>
        <v>3746.21</v>
      </c>
      <c r="G90" s="11">
        <f>H90+I90+J90+K90+L90+M90+N90</f>
        <v>3746.21</v>
      </c>
      <c r="H90" s="20">
        <v>0</v>
      </c>
      <c r="I90" s="20">
        <v>1293.04</v>
      </c>
      <c r="J90" s="20">
        <v>0</v>
      </c>
      <c r="K90" s="20">
        <v>0</v>
      </c>
      <c r="L90" s="20">
        <v>1820.17</v>
      </c>
      <c r="M90" s="20">
        <v>0</v>
      </c>
      <c r="N90" s="20">
        <f>(100*6)+20+10+3</f>
        <v>633</v>
      </c>
    </row>
    <row r="91" customHeight="1" spans="1:14">
      <c r="A91" s="115" t="s">
        <v>834</v>
      </c>
      <c r="B91" s="81" t="s">
        <v>129</v>
      </c>
      <c r="C91" s="82" t="s">
        <v>210</v>
      </c>
      <c r="D91" s="83"/>
      <c r="E91" s="84">
        <v>400</v>
      </c>
      <c r="F91" s="85">
        <f t="shared" si="0"/>
        <v>3346.21</v>
      </c>
      <c r="G91" s="38"/>
      <c r="H91" s="38"/>
      <c r="I91" s="38"/>
      <c r="J91" s="38"/>
      <c r="K91" s="38"/>
      <c r="L91" s="38"/>
      <c r="M91" s="38"/>
      <c r="N91" s="38"/>
    </row>
    <row r="92" customHeight="1" spans="1:6">
      <c r="A92" s="117"/>
      <c r="B92" s="47" t="s">
        <v>224</v>
      </c>
      <c r="C92" s="75" t="s">
        <v>224</v>
      </c>
      <c r="D92" s="76"/>
      <c r="E92" s="78">
        <v>50</v>
      </c>
      <c r="F92" s="79">
        <f t="shared" si="0"/>
        <v>3296.21</v>
      </c>
    </row>
    <row r="93" customHeight="1" spans="1:6">
      <c r="A93" s="117"/>
      <c r="B93" s="47" t="s">
        <v>835</v>
      </c>
      <c r="C93" s="75"/>
      <c r="D93" s="76">
        <v>20</v>
      </c>
      <c r="E93" s="78"/>
      <c r="F93" s="79">
        <f t="shared" si="0"/>
        <v>3316.21</v>
      </c>
    </row>
    <row r="94" customHeight="1" spans="1:14">
      <c r="A94" s="117" t="s">
        <v>836</v>
      </c>
      <c r="B94" s="47" t="s">
        <v>129</v>
      </c>
      <c r="C94" s="75" t="s">
        <v>210</v>
      </c>
      <c r="D94" s="76"/>
      <c r="E94" s="78">
        <v>300</v>
      </c>
      <c r="F94" s="79">
        <f t="shared" si="0"/>
        <v>3016.21</v>
      </c>
      <c r="G94" s="11"/>
      <c r="H94" s="20"/>
      <c r="I94" s="13"/>
      <c r="J94" s="20"/>
      <c r="K94" s="20"/>
      <c r="L94" s="20"/>
      <c r="M94" s="20"/>
      <c r="N94" s="20"/>
    </row>
    <row r="95" customHeight="1" spans="1:14">
      <c r="A95" s="117"/>
      <c r="B95" s="47" t="s">
        <v>20</v>
      </c>
      <c r="C95" s="75" t="s">
        <v>224</v>
      </c>
      <c r="D95" s="76"/>
      <c r="E95" s="78">
        <v>120</v>
      </c>
      <c r="F95" s="79">
        <f t="shared" si="0"/>
        <v>2896.21</v>
      </c>
      <c r="G95" s="15"/>
      <c r="H95" s="15"/>
      <c r="I95" s="15"/>
      <c r="J95" s="15"/>
      <c r="K95" s="15"/>
      <c r="L95" s="15"/>
      <c r="M95" s="15"/>
      <c r="N95" s="15"/>
    </row>
    <row r="96" customHeight="1" spans="1:14">
      <c r="A96" s="117"/>
      <c r="B96" s="47" t="s">
        <v>837</v>
      </c>
      <c r="C96" s="75" t="s">
        <v>214</v>
      </c>
      <c r="D96" s="76"/>
      <c r="E96" s="78">
        <v>5</v>
      </c>
      <c r="F96" s="79">
        <f t="shared" si="0"/>
        <v>2891.21</v>
      </c>
      <c r="G96" s="15"/>
      <c r="H96" s="15"/>
      <c r="I96" s="15"/>
      <c r="J96" s="15"/>
      <c r="K96" s="15"/>
      <c r="L96" s="15"/>
      <c r="M96" s="15"/>
      <c r="N96" s="15"/>
    </row>
    <row r="97" customHeight="1" spans="1:14">
      <c r="A97" s="117"/>
      <c r="B97" s="47" t="s">
        <v>650</v>
      </c>
      <c r="C97" s="75" t="s">
        <v>86</v>
      </c>
      <c r="D97" s="76"/>
      <c r="E97" s="78">
        <v>30</v>
      </c>
      <c r="F97" s="79">
        <f t="shared" si="0"/>
        <v>2861.21</v>
      </c>
      <c r="G97" s="15"/>
      <c r="H97" s="15"/>
      <c r="I97" s="15"/>
      <c r="J97" s="15"/>
      <c r="K97" s="15"/>
      <c r="L97" s="15"/>
      <c r="M97" s="15"/>
      <c r="N97" s="15"/>
    </row>
    <row r="98" customHeight="1" spans="1:14">
      <c r="A98" s="117"/>
      <c r="B98" s="16" t="s">
        <v>17</v>
      </c>
      <c r="C98" s="17" t="s">
        <v>86</v>
      </c>
      <c r="D98" s="18"/>
      <c r="E98" s="19">
        <v>254</v>
      </c>
      <c r="F98" s="79">
        <f t="shared" si="0"/>
        <v>2607.21</v>
      </c>
      <c r="G98" s="21"/>
      <c r="H98" s="15"/>
      <c r="I98" s="15"/>
      <c r="J98" s="15"/>
      <c r="K98" s="15"/>
      <c r="L98" s="15"/>
      <c r="M98" s="15"/>
      <c r="N98" s="15"/>
    </row>
    <row r="99" customHeight="1" spans="1:14">
      <c r="A99" s="117"/>
      <c r="B99" s="74" t="s">
        <v>838</v>
      </c>
      <c r="C99" s="75" t="s">
        <v>214</v>
      </c>
      <c r="D99" s="76"/>
      <c r="E99" s="78">
        <v>5.9</v>
      </c>
      <c r="F99" s="79">
        <f t="shared" si="0"/>
        <v>2601.31</v>
      </c>
      <c r="G99" s="20">
        <f>ABS(G100-F100)</f>
        <v>3.63797880709171e-12</v>
      </c>
      <c r="H99" s="20"/>
      <c r="I99" s="20"/>
      <c r="J99" s="20"/>
      <c r="K99" s="20"/>
      <c r="L99" s="20"/>
      <c r="M99" s="20"/>
      <c r="N99" s="20"/>
    </row>
    <row r="100" customHeight="1" spans="1:14">
      <c r="A100" s="117"/>
      <c r="B100" s="74" t="s">
        <v>839</v>
      </c>
      <c r="C100" s="75" t="s">
        <v>214</v>
      </c>
      <c r="D100" s="76"/>
      <c r="E100" s="78">
        <v>1300</v>
      </c>
      <c r="F100" s="79">
        <f t="shared" si="0"/>
        <v>1301.31</v>
      </c>
      <c r="G100" s="11">
        <f>H100+I100+J100+K100+L100+M100+N100</f>
        <v>1301.31</v>
      </c>
      <c r="H100" s="20">
        <v>0</v>
      </c>
      <c r="I100" s="20">
        <f>1039.04-700</f>
        <v>339.04</v>
      </c>
      <c r="J100" s="20">
        <v>0</v>
      </c>
      <c r="K100" s="20">
        <v>0</v>
      </c>
      <c r="L100" s="20">
        <f>1084.27-600</f>
        <v>484.27</v>
      </c>
      <c r="M100" s="20">
        <v>0</v>
      </c>
      <c r="N100" s="20">
        <f>(100*4)+60+15+3</f>
        <v>478</v>
      </c>
    </row>
    <row r="101" customHeight="1" spans="1:14">
      <c r="A101" s="115"/>
      <c r="B101" s="81"/>
      <c r="C101" s="82"/>
      <c r="D101" s="83"/>
      <c r="E101" s="84"/>
      <c r="F101" s="85">
        <f t="shared" si="0"/>
        <v>1301.31</v>
      </c>
      <c r="G101" s="27"/>
      <c r="H101" s="38"/>
      <c r="I101" s="38"/>
      <c r="J101" s="38"/>
      <c r="K101" s="38"/>
      <c r="L101" s="38"/>
      <c r="M101" s="38"/>
      <c r="N101" s="38"/>
    </row>
    <row r="102" customHeight="1" spans="1:14">
      <c r="A102" s="14"/>
      <c r="B102" s="7"/>
      <c r="C102" s="8"/>
      <c r="D102" s="9"/>
      <c r="E102" s="10"/>
      <c r="F102" s="79">
        <f t="shared" si="0"/>
        <v>1301.31</v>
      </c>
      <c r="G102" s="15"/>
      <c r="H102" s="15"/>
      <c r="I102" s="15"/>
      <c r="J102" s="15"/>
      <c r="K102" s="15"/>
      <c r="L102" s="15"/>
      <c r="M102" s="15"/>
      <c r="N102" s="15"/>
    </row>
    <row r="103" customHeight="1" spans="1:14">
      <c r="A103" s="14"/>
      <c r="B103" s="7"/>
      <c r="C103" s="8"/>
      <c r="D103" s="9"/>
      <c r="E103" s="10"/>
      <c r="F103" s="79">
        <f t="shared" si="0"/>
        <v>1301.31</v>
      </c>
      <c r="G103" s="20"/>
      <c r="H103" s="20"/>
      <c r="I103" s="20"/>
      <c r="J103" s="20"/>
      <c r="K103" s="20"/>
      <c r="L103" s="20"/>
      <c r="M103" s="20"/>
      <c r="N103" s="20"/>
    </row>
    <row r="104" customHeight="1" spans="1:14">
      <c r="A104" s="14"/>
      <c r="B104" s="7"/>
      <c r="C104" s="8"/>
      <c r="D104" s="9"/>
      <c r="E104" s="10"/>
      <c r="F104" s="79">
        <f t="shared" si="0"/>
        <v>1301.31</v>
      </c>
      <c r="G104" s="11"/>
      <c r="H104" s="20"/>
      <c r="J104" s="20"/>
      <c r="K104" s="20"/>
      <c r="L104" s="20"/>
      <c r="M104" s="20"/>
      <c r="N104" s="20"/>
    </row>
    <row r="105" customHeight="1" spans="1:14">
      <c r="A105" s="14"/>
      <c r="B105" s="7"/>
      <c r="C105" s="8"/>
      <c r="D105" s="9"/>
      <c r="E105" s="10"/>
      <c r="F105" s="79">
        <f t="shared" si="0"/>
        <v>1301.31</v>
      </c>
      <c r="G105" s="15"/>
      <c r="H105" s="15"/>
      <c r="I105" s="15"/>
      <c r="J105" s="15"/>
      <c r="K105" s="15"/>
      <c r="L105" s="15"/>
      <c r="M105" s="15"/>
      <c r="N105" s="15"/>
    </row>
    <row r="106" customHeight="1" spans="1:14">
      <c r="A106" s="14"/>
      <c r="B106" s="7"/>
      <c r="C106" s="8"/>
      <c r="D106" s="9"/>
      <c r="E106" s="10"/>
      <c r="F106" s="79">
        <f t="shared" si="0"/>
        <v>1301.31</v>
      </c>
      <c r="G106" s="20"/>
      <c r="H106" s="20"/>
      <c r="I106" s="20"/>
      <c r="J106" s="20"/>
      <c r="K106" s="20"/>
      <c r="L106" s="20"/>
      <c r="M106" s="20"/>
      <c r="N106" s="20"/>
    </row>
    <row r="107" customHeight="1" spans="1:14">
      <c r="A107" s="14"/>
      <c r="B107" s="7"/>
      <c r="C107" s="8"/>
      <c r="D107" s="9"/>
      <c r="E107" s="10"/>
      <c r="F107" s="79">
        <f t="shared" si="0"/>
        <v>1301.31</v>
      </c>
      <c r="G107" s="11"/>
      <c r="H107" s="20"/>
      <c r="I107" s="20"/>
      <c r="J107" s="20"/>
      <c r="K107" s="20"/>
      <c r="L107" s="20"/>
      <c r="M107" s="20"/>
      <c r="N107" s="20"/>
    </row>
    <row r="108" customHeight="1" spans="1:6">
      <c r="A108" s="14"/>
      <c r="B108" s="7"/>
      <c r="C108" s="8"/>
      <c r="D108" s="9"/>
      <c r="E108" s="10"/>
      <c r="F108" s="79">
        <f t="shared" si="0"/>
        <v>1301.31</v>
      </c>
    </row>
    <row r="109" customHeight="1" spans="1:14">
      <c r="A109" s="14"/>
      <c r="B109" s="7"/>
      <c r="C109" s="8"/>
      <c r="D109" s="9"/>
      <c r="E109" s="10"/>
      <c r="F109" s="79">
        <f t="shared" si="0"/>
        <v>1301.31</v>
      </c>
      <c r="G109" s="15"/>
      <c r="H109" s="15"/>
      <c r="I109" s="15"/>
      <c r="J109" s="15"/>
      <c r="K109" s="15"/>
      <c r="L109" s="15"/>
      <c r="M109" s="15"/>
      <c r="N109" s="15"/>
    </row>
    <row r="110" customHeight="1" spans="1:14">
      <c r="A110" s="14"/>
      <c r="B110" s="7"/>
      <c r="C110" s="8"/>
      <c r="D110" s="9"/>
      <c r="E110" s="10"/>
      <c r="F110" s="79">
        <f t="shared" si="0"/>
        <v>1301.31</v>
      </c>
      <c r="G110" s="15"/>
      <c r="H110" s="15"/>
      <c r="I110" s="15"/>
      <c r="J110" s="15"/>
      <c r="K110" s="15"/>
      <c r="L110" s="15"/>
      <c r="M110" s="15"/>
      <c r="N110" s="15"/>
    </row>
    <row r="111" customHeight="1" spans="1:14">
      <c r="A111" s="14"/>
      <c r="B111" s="7"/>
      <c r="C111" s="8"/>
      <c r="D111" s="9"/>
      <c r="E111" s="10"/>
      <c r="F111" s="79">
        <f t="shared" si="0"/>
        <v>1301.31</v>
      </c>
      <c r="G111" s="12"/>
      <c r="H111" s="12"/>
      <c r="I111" s="12"/>
      <c r="J111" s="12"/>
      <c r="K111" s="12"/>
      <c r="L111" s="12"/>
      <c r="M111" s="12"/>
      <c r="N111" s="12"/>
    </row>
    <row r="112" customHeight="1" spans="1:14">
      <c r="A112" s="14"/>
      <c r="B112" s="7"/>
      <c r="C112" s="8"/>
      <c r="D112" s="9"/>
      <c r="E112" s="10"/>
      <c r="F112" s="79">
        <f t="shared" si="0"/>
        <v>1301.31</v>
      </c>
      <c r="G112" s="20"/>
      <c r="H112" s="20"/>
      <c r="I112" s="20"/>
      <c r="J112" s="20"/>
      <c r="K112" s="20"/>
      <c r="L112" s="20"/>
      <c r="M112" s="20"/>
      <c r="N112" s="20"/>
    </row>
    <row r="113" customHeight="1" spans="1:14">
      <c r="A113" s="14"/>
      <c r="B113" s="7"/>
      <c r="C113" s="8"/>
      <c r="D113" s="9"/>
      <c r="E113" s="10"/>
      <c r="F113" s="79">
        <f t="shared" si="0"/>
        <v>1301.31</v>
      </c>
      <c r="G113" s="15"/>
      <c r="H113" s="15"/>
      <c r="I113" s="15"/>
      <c r="J113" s="15"/>
      <c r="K113" s="15"/>
      <c r="L113" s="15"/>
      <c r="M113" s="15"/>
      <c r="N113" s="15"/>
    </row>
    <row r="114" customHeight="1" spans="1:14">
      <c r="A114" s="14"/>
      <c r="B114" s="7"/>
      <c r="C114" s="8"/>
      <c r="D114" s="9"/>
      <c r="E114" s="10"/>
      <c r="F114" s="79">
        <f t="shared" si="0"/>
        <v>1301.31</v>
      </c>
      <c r="G114" s="20"/>
      <c r="H114" s="20"/>
      <c r="I114" s="20"/>
      <c r="J114" s="20"/>
      <c r="K114" s="20"/>
      <c r="L114" s="20"/>
      <c r="M114" s="20"/>
      <c r="N114" s="20"/>
    </row>
    <row r="115" customHeight="1" spans="1:14">
      <c r="A115" s="14"/>
      <c r="B115" s="7"/>
      <c r="C115" s="8"/>
      <c r="D115" s="9"/>
      <c r="E115" s="10"/>
      <c r="F115" s="79">
        <f t="shared" si="0"/>
        <v>1301.31</v>
      </c>
      <c r="G115" s="11"/>
      <c r="H115" s="20"/>
      <c r="J115" s="20"/>
      <c r="K115" s="20"/>
      <c r="L115" s="20"/>
      <c r="M115" s="20"/>
      <c r="N115" s="20"/>
    </row>
    <row r="116" customHeight="1" spans="1:14">
      <c r="A116" s="14"/>
      <c r="B116" s="7"/>
      <c r="C116" s="8"/>
      <c r="D116" s="9"/>
      <c r="E116" s="10"/>
      <c r="F116" s="79">
        <f t="shared" si="0"/>
        <v>1301.31</v>
      </c>
      <c r="G116" s="15"/>
      <c r="H116" s="15"/>
      <c r="I116" s="15"/>
      <c r="J116" s="15"/>
      <c r="K116" s="15"/>
      <c r="L116" s="15"/>
      <c r="M116" s="15"/>
      <c r="N116" s="15"/>
    </row>
    <row r="117" customHeight="1" spans="1:14">
      <c r="A117" s="14"/>
      <c r="B117" s="7"/>
      <c r="C117" s="8"/>
      <c r="D117" s="9"/>
      <c r="E117" s="10"/>
      <c r="F117" s="79">
        <f t="shared" si="0"/>
        <v>1301.31</v>
      </c>
      <c r="G117" s="15"/>
      <c r="H117" s="15"/>
      <c r="I117" s="15"/>
      <c r="J117" s="15"/>
      <c r="K117" s="15"/>
      <c r="L117" s="15"/>
      <c r="M117" s="15"/>
      <c r="N117" s="15"/>
    </row>
    <row r="118" customHeight="1" spans="1:14">
      <c r="A118" s="14"/>
      <c r="B118" s="7"/>
      <c r="C118" s="8"/>
      <c r="D118" s="9"/>
      <c r="E118" s="10"/>
      <c r="F118" s="79">
        <f t="shared" si="0"/>
        <v>1301.31</v>
      </c>
      <c r="G118" s="140"/>
      <c r="H118" s="141"/>
      <c r="I118" s="140"/>
      <c r="J118" s="140"/>
      <c r="K118" s="140"/>
      <c r="L118" s="140"/>
      <c r="M118" s="140"/>
      <c r="N118" s="15"/>
    </row>
    <row r="119" customHeight="1" spans="1:14">
      <c r="A119" s="14"/>
      <c r="B119" s="7"/>
      <c r="C119" s="8"/>
      <c r="D119" s="9"/>
      <c r="E119" s="10"/>
      <c r="F119" s="79">
        <f t="shared" si="0"/>
        <v>1301.31</v>
      </c>
      <c r="G119" s="12"/>
      <c r="H119" s="12"/>
      <c r="I119" s="12"/>
      <c r="J119" s="64"/>
      <c r="K119" s="12"/>
      <c r="L119" s="12"/>
      <c r="M119" s="12"/>
      <c r="N119" s="12"/>
    </row>
    <row r="120" customHeight="1" spans="1:14">
      <c r="A120" s="14"/>
      <c r="B120" s="7"/>
      <c r="C120" s="8"/>
      <c r="D120" s="9"/>
      <c r="E120" s="10"/>
      <c r="F120" s="79">
        <f t="shared" si="0"/>
        <v>1301.31</v>
      </c>
      <c r="G120" s="142"/>
      <c r="H120" s="143"/>
      <c r="I120" s="143"/>
      <c r="J120" s="143"/>
      <c r="K120" s="143"/>
      <c r="L120" s="143"/>
      <c r="M120" s="143"/>
      <c r="N120" s="142"/>
    </row>
    <row r="121" customHeight="1" spans="1:14">
      <c r="A121" s="14"/>
      <c r="B121" s="7"/>
      <c r="C121" s="8"/>
      <c r="D121" s="9"/>
      <c r="E121" s="10"/>
      <c r="F121" s="79">
        <f t="shared" si="0"/>
        <v>1301.31</v>
      </c>
      <c r="G121" s="142"/>
      <c r="H121" s="143"/>
      <c r="I121" s="143"/>
      <c r="J121" s="143"/>
      <c r="K121" s="143"/>
      <c r="L121" s="143"/>
      <c r="M121" s="143"/>
      <c r="N121" s="142"/>
    </row>
    <row r="122" customHeight="1" spans="1:14">
      <c r="A122" s="14"/>
      <c r="B122" s="7"/>
      <c r="C122" s="8"/>
      <c r="D122" s="9"/>
      <c r="E122" s="10"/>
      <c r="F122" s="79">
        <f t="shared" si="0"/>
        <v>1301.31</v>
      </c>
      <c r="G122" s="12"/>
      <c r="H122" s="12"/>
      <c r="I122" s="12"/>
      <c r="J122" s="12"/>
      <c r="K122" s="12"/>
      <c r="L122" s="12"/>
      <c r="M122" s="12"/>
      <c r="N122" s="12"/>
    </row>
    <row r="123" customHeight="1" spans="1:14">
      <c r="A123" s="14"/>
      <c r="B123" s="7"/>
      <c r="C123" s="8"/>
      <c r="D123" s="9"/>
      <c r="E123" s="10"/>
      <c r="F123" s="79">
        <f t="shared" si="0"/>
        <v>1301.31</v>
      </c>
      <c r="G123" s="21"/>
      <c r="H123" s="15"/>
      <c r="I123" s="13"/>
      <c r="J123" s="15"/>
      <c r="K123" s="15"/>
      <c r="L123" s="20"/>
      <c r="M123" s="15"/>
      <c r="N123" s="15"/>
    </row>
    <row r="124" customHeight="1" spans="1:14">
      <c r="A124" s="14"/>
      <c r="B124" s="7"/>
      <c r="C124" s="8"/>
      <c r="D124" s="9"/>
      <c r="E124" s="10"/>
      <c r="F124" s="79">
        <f t="shared" si="0"/>
        <v>1301.31</v>
      </c>
      <c r="G124" s="12"/>
      <c r="H124" s="13"/>
      <c r="I124" s="13"/>
      <c r="J124" s="13"/>
      <c r="K124" s="13"/>
      <c r="L124" s="13"/>
      <c r="M124" s="13"/>
      <c r="N124" s="13"/>
    </row>
    <row r="125" customHeight="1" spans="1:14">
      <c r="A125" s="14"/>
      <c r="B125" s="7"/>
      <c r="C125" s="8"/>
      <c r="D125" s="9"/>
      <c r="E125" s="10"/>
      <c r="F125" s="79">
        <f t="shared" si="0"/>
        <v>1301.31</v>
      </c>
      <c r="G125" s="20"/>
      <c r="H125" s="20"/>
      <c r="I125" s="20"/>
      <c r="J125" s="20"/>
      <c r="K125" s="20"/>
      <c r="L125" s="20"/>
      <c r="M125" s="20"/>
      <c r="N125" s="20"/>
    </row>
    <row r="126" customHeight="1" spans="1:14">
      <c r="A126" s="14"/>
      <c r="B126" s="7"/>
      <c r="C126" s="8"/>
      <c r="D126" s="9"/>
      <c r="E126" s="10"/>
      <c r="F126" s="79">
        <f t="shared" si="0"/>
        <v>1301.31</v>
      </c>
      <c r="G126" s="11"/>
      <c r="H126" s="20"/>
      <c r="I126" s="20"/>
      <c r="J126" s="20"/>
      <c r="K126" s="20"/>
      <c r="L126" s="20"/>
      <c r="M126" s="20"/>
      <c r="N126" s="20"/>
    </row>
    <row r="127" customHeight="1" spans="1:14">
      <c r="A127" s="14"/>
      <c r="B127" s="7"/>
      <c r="C127" s="8"/>
      <c r="D127" s="9"/>
      <c r="E127" s="10"/>
      <c r="F127" s="79">
        <f t="shared" si="0"/>
        <v>1301.31</v>
      </c>
      <c r="G127" s="12"/>
      <c r="H127" s="12"/>
      <c r="I127" s="12"/>
      <c r="J127" s="12"/>
      <c r="K127" s="12"/>
      <c r="L127" s="12"/>
      <c r="M127" s="12"/>
      <c r="N127" s="12"/>
    </row>
    <row r="128" customHeight="1" spans="1:14">
      <c r="A128" s="14"/>
      <c r="B128" s="7"/>
      <c r="C128" s="8"/>
      <c r="D128" s="9"/>
      <c r="E128" s="10"/>
      <c r="F128" s="79">
        <f t="shared" si="0"/>
        <v>1301.31</v>
      </c>
      <c r="G128" s="20"/>
      <c r="H128" s="20"/>
      <c r="I128" s="20"/>
      <c r="J128" s="20"/>
      <c r="K128" s="20"/>
      <c r="L128" s="20"/>
      <c r="M128" s="20"/>
      <c r="N128" s="20"/>
    </row>
    <row r="129" customHeight="1" spans="1:14">
      <c r="A129" s="14"/>
      <c r="B129" s="7"/>
      <c r="C129" s="8"/>
      <c r="D129" s="9"/>
      <c r="E129" s="10"/>
      <c r="F129" s="79">
        <f t="shared" si="0"/>
        <v>1301.31</v>
      </c>
      <c r="G129" s="11"/>
      <c r="H129" s="20"/>
      <c r="I129" s="13"/>
      <c r="J129" s="20"/>
      <c r="K129" s="20"/>
      <c r="L129" s="20"/>
      <c r="M129" s="20"/>
      <c r="N129" s="20"/>
    </row>
    <row r="130" customHeight="1" spans="1:14">
      <c r="A130" s="14"/>
      <c r="B130" s="7"/>
      <c r="C130" s="8"/>
      <c r="D130" s="9"/>
      <c r="E130" s="10"/>
      <c r="F130" s="79">
        <f t="shared" si="0"/>
        <v>1301.31</v>
      </c>
      <c r="G130" s="12"/>
      <c r="H130" s="12"/>
      <c r="I130" s="12"/>
      <c r="J130" s="12"/>
      <c r="K130" s="12"/>
      <c r="L130" s="12"/>
      <c r="M130" s="12"/>
      <c r="N130" s="12"/>
    </row>
    <row r="131" customHeight="1" spans="1:14">
      <c r="A131" s="117"/>
      <c r="B131" s="74"/>
      <c r="C131" s="75"/>
      <c r="D131" s="76"/>
      <c r="E131" s="78"/>
      <c r="F131" s="79">
        <f t="shared" si="0"/>
        <v>1301.31</v>
      </c>
      <c r="G131" s="124"/>
      <c r="H131" s="125"/>
      <c r="I131" s="125"/>
      <c r="J131" s="125"/>
      <c r="K131" s="125"/>
      <c r="L131" s="125"/>
      <c r="M131" s="125"/>
      <c r="N131" s="124"/>
    </row>
    <row r="132" customHeight="1" spans="1:14">
      <c r="A132" s="117"/>
      <c r="B132" s="74"/>
      <c r="C132" s="75"/>
      <c r="D132" s="76"/>
      <c r="E132" s="78"/>
      <c r="F132" s="79">
        <f t="shared" si="0"/>
        <v>1301.31</v>
      </c>
      <c r="G132" s="77"/>
      <c r="H132" s="77"/>
      <c r="I132" s="77"/>
      <c r="J132" s="77"/>
      <c r="K132" s="77"/>
      <c r="L132" s="110"/>
      <c r="M132" s="77"/>
      <c r="N132" s="77"/>
    </row>
    <row r="133" customHeight="1" spans="1:14">
      <c r="A133" s="117"/>
      <c r="B133" s="74"/>
      <c r="C133" s="75"/>
      <c r="D133" s="76"/>
      <c r="E133" s="78"/>
      <c r="F133" s="79">
        <f t="shared" si="0"/>
        <v>1301.31</v>
      </c>
      <c r="G133" s="110"/>
      <c r="H133" s="110"/>
      <c r="I133" s="110"/>
      <c r="J133" s="110"/>
      <c r="K133" s="110"/>
      <c r="L133" s="110"/>
      <c r="M133" s="110"/>
      <c r="N133" s="110"/>
    </row>
    <row r="134" customHeight="1" spans="1:14">
      <c r="A134" s="117"/>
      <c r="B134" s="74"/>
      <c r="C134" s="75"/>
      <c r="D134" s="76"/>
      <c r="E134" s="78"/>
      <c r="F134" s="79">
        <f t="shared" si="0"/>
        <v>1301.31</v>
      </c>
      <c r="G134" s="110"/>
      <c r="H134" s="110"/>
      <c r="I134" s="110"/>
      <c r="J134" s="110"/>
      <c r="K134" s="110"/>
      <c r="L134" s="110"/>
      <c r="M134" s="110"/>
      <c r="N134" s="110"/>
    </row>
    <row r="135" customHeight="1" spans="1:14">
      <c r="A135" s="117"/>
      <c r="B135" s="74"/>
      <c r="C135" s="75"/>
      <c r="D135" s="76"/>
      <c r="E135" s="78"/>
      <c r="F135" s="79">
        <f t="shared" si="0"/>
        <v>1301.31</v>
      </c>
      <c r="G135" s="158"/>
      <c r="H135" s="158"/>
      <c r="I135" s="158"/>
      <c r="J135" s="158"/>
      <c r="K135" s="158"/>
      <c r="L135" s="158"/>
      <c r="M135" s="158"/>
      <c r="N135" s="105"/>
    </row>
    <row r="136" customHeight="1" spans="1:14">
      <c r="A136" s="117"/>
      <c r="B136" s="74"/>
      <c r="C136" s="75"/>
      <c r="D136" s="76"/>
      <c r="E136" s="78"/>
      <c r="F136" s="79">
        <f t="shared" si="0"/>
        <v>1301.31</v>
      </c>
      <c r="G136" s="158"/>
      <c r="H136" s="158"/>
      <c r="I136" s="158"/>
      <c r="J136" s="158"/>
      <c r="K136" s="158"/>
      <c r="L136" s="158"/>
      <c r="M136" s="158"/>
      <c r="N136" s="158"/>
    </row>
    <row r="137" customHeight="1" spans="1:14">
      <c r="A137" s="117"/>
      <c r="B137" s="74"/>
      <c r="C137" s="75"/>
      <c r="D137" s="76"/>
      <c r="E137" s="78"/>
      <c r="F137" s="79">
        <f t="shared" si="0"/>
        <v>1301.31</v>
      </c>
      <c r="G137" s="158"/>
      <c r="H137" s="158"/>
      <c r="I137" s="158"/>
      <c r="J137" s="158"/>
      <c r="K137" s="158"/>
      <c r="L137" s="158"/>
      <c r="M137" s="158"/>
      <c r="N137" s="158"/>
    </row>
    <row r="138" customHeight="1" spans="1:14">
      <c r="A138" s="117"/>
      <c r="B138" s="74"/>
      <c r="C138" s="75"/>
      <c r="D138" s="76"/>
      <c r="E138" s="78"/>
      <c r="F138" s="79">
        <f t="shared" si="0"/>
        <v>1301.31</v>
      </c>
      <c r="G138" s="110"/>
      <c r="H138" s="110"/>
      <c r="I138" s="110"/>
      <c r="J138" s="110"/>
      <c r="K138" s="110"/>
      <c r="L138" s="110"/>
      <c r="M138" s="110"/>
      <c r="N138" s="110"/>
    </row>
    <row r="139" customHeight="1" spans="1:14">
      <c r="A139" s="117"/>
      <c r="B139" s="74"/>
      <c r="C139" s="75"/>
      <c r="D139" s="76"/>
      <c r="E139" s="78"/>
      <c r="F139" s="79">
        <f t="shared" si="0"/>
        <v>1301.31</v>
      </c>
      <c r="G139" s="110"/>
      <c r="H139" s="110"/>
      <c r="I139" s="110"/>
      <c r="J139" s="110"/>
      <c r="K139" s="110"/>
      <c r="L139" s="110"/>
      <c r="M139" s="110"/>
      <c r="N139" s="110"/>
    </row>
    <row r="140" customHeight="1" spans="1:14">
      <c r="A140" s="117"/>
      <c r="B140" s="74"/>
      <c r="C140" s="75"/>
      <c r="D140" s="76"/>
      <c r="E140" s="78"/>
      <c r="F140" s="79">
        <f t="shared" si="0"/>
        <v>1301.31</v>
      </c>
      <c r="G140" s="118"/>
      <c r="H140" s="158"/>
      <c r="I140" s="105"/>
      <c r="J140" s="158"/>
      <c r="K140" s="158"/>
      <c r="L140" s="77"/>
      <c r="M140" s="158"/>
      <c r="N140" s="158"/>
    </row>
    <row r="141" customHeight="1" spans="1:14">
      <c r="A141" s="117"/>
      <c r="B141" s="74"/>
      <c r="C141" s="75"/>
      <c r="D141" s="76"/>
      <c r="E141" s="78"/>
      <c r="F141" s="79">
        <f t="shared" si="0"/>
        <v>1301.31</v>
      </c>
      <c r="G141" s="158"/>
      <c r="H141" s="158"/>
      <c r="I141" s="158"/>
      <c r="J141" s="158"/>
      <c r="K141" s="158"/>
      <c r="L141" s="158"/>
      <c r="M141" s="158"/>
      <c r="N141" s="158"/>
    </row>
    <row r="142" customHeight="1" spans="1:14">
      <c r="A142" s="117"/>
      <c r="B142" s="74"/>
      <c r="C142" s="75"/>
      <c r="D142" s="76"/>
      <c r="E142" s="78"/>
      <c r="F142" s="79">
        <f t="shared" si="0"/>
        <v>1301.31</v>
      </c>
      <c r="G142" s="77"/>
      <c r="H142" s="77"/>
      <c r="I142" s="77"/>
      <c r="J142" s="77"/>
      <c r="K142" s="77"/>
      <c r="L142" s="110"/>
      <c r="M142" s="77"/>
      <c r="N142" s="77"/>
    </row>
    <row r="143" customHeight="1" spans="1:14">
      <c r="A143" s="117"/>
      <c r="B143" s="74"/>
      <c r="C143" s="75"/>
      <c r="D143" s="76"/>
      <c r="E143" s="78"/>
      <c r="F143" s="79">
        <f t="shared" si="0"/>
        <v>1301.31</v>
      </c>
      <c r="G143" s="110"/>
      <c r="H143" s="110"/>
      <c r="I143" s="110"/>
      <c r="J143" s="110"/>
      <c r="K143" s="110"/>
      <c r="L143" s="110"/>
      <c r="M143" s="110"/>
      <c r="N143" s="110"/>
    </row>
    <row r="144" customHeight="1" spans="1:14">
      <c r="A144" s="117"/>
      <c r="B144" s="74"/>
      <c r="C144" s="75"/>
      <c r="D144" s="76"/>
      <c r="E144" s="78"/>
      <c r="F144" s="79">
        <f t="shared" si="0"/>
        <v>1301.31</v>
      </c>
      <c r="G144" s="110"/>
      <c r="H144" s="110"/>
      <c r="I144" s="110"/>
      <c r="J144" s="110"/>
      <c r="K144" s="110"/>
      <c r="L144" s="110"/>
      <c r="M144" s="110"/>
      <c r="N144" s="110"/>
    </row>
    <row r="145" customHeight="1" spans="1:14">
      <c r="A145" s="117"/>
      <c r="B145" s="74"/>
      <c r="C145" s="75"/>
      <c r="D145" s="76"/>
      <c r="E145" s="78"/>
      <c r="F145" s="79">
        <f t="shared" si="0"/>
        <v>1301.31</v>
      </c>
      <c r="G145" s="110"/>
      <c r="H145" s="110"/>
      <c r="I145" s="110"/>
      <c r="J145" s="110"/>
      <c r="K145" s="110"/>
      <c r="L145" s="110"/>
      <c r="M145" s="110"/>
      <c r="N145" s="110"/>
    </row>
    <row r="146" customHeight="1" spans="1:14">
      <c r="A146" s="117"/>
      <c r="B146" s="74"/>
      <c r="C146" s="75"/>
      <c r="D146" s="76"/>
      <c r="E146" s="78"/>
      <c r="F146" s="79">
        <f t="shared" si="0"/>
        <v>1301.31</v>
      </c>
      <c r="G146" s="118"/>
      <c r="H146" s="158"/>
      <c r="I146" s="105"/>
      <c r="J146" s="158"/>
      <c r="K146" s="158"/>
      <c r="L146" s="77"/>
      <c r="M146" s="158"/>
      <c r="N146" s="158"/>
    </row>
    <row r="147" customHeight="1" spans="1:14">
      <c r="A147" s="117"/>
      <c r="B147" s="74"/>
      <c r="C147" s="75"/>
      <c r="D147" s="76"/>
      <c r="E147" s="78"/>
      <c r="F147" s="79">
        <f t="shared" si="0"/>
        <v>1301.31</v>
      </c>
      <c r="G147" s="110"/>
      <c r="H147" s="105"/>
      <c r="I147" s="105"/>
      <c r="J147" s="105"/>
      <c r="K147" s="105"/>
      <c r="L147" s="105"/>
      <c r="M147" s="105"/>
      <c r="N147" s="105"/>
    </row>
    <row r="148" customHeight="1" spans="1:14">
      <c r="A148" s="117"/>
      <c r="B148" s="74"/>
      <c r="C148" s="75"/>
      <c r="D148" s="76"/>
      <c r="E148" s="78"/>
      <c r="F148" s="79">
        <f t="shared" si="0"/>
        <v>1301.31</v>
      </c>
      <c r="G148" s="77"/>
      <c r="H148" s="77"/>
      <c r="I148" s="77"/>
      <c r="J148" s="77"/>
      <c r="K148" s="77"/>
      <c r="L148" s="110"/>
      <c r="M148" s="77"/>
      <c r="N148" s="77"/>
    </row>
    <row r="149" customHeight="1" spans="1:14">
      <c r="A149" s="117"/>
      <c r="B149" s="74"/>
      <c r="C149" s="75"/>
      <c r="D149" s="76"/>
      <c r="E149" s="78"/>
      <c r="F149" s="79">
        <f t="shared" si="0"/>
        <v>1301.31</v>
      </c>
      <c r="G149" s="124"/>
      <c r="H149" s="125"/>
      <c r="I149" s="125"/>
      <c r="J149" s="125"/>
      <c r="K149" s="125"/>
      <c r="L149" s="125"/>
      <c r="M149" s="125"/>
      <c r="N149" s="125"/>
    </row>
    <row r="150" customHeight="1" spans="1:14">
      <c r="A150" s="117"/>
      <c r="B150" s="74"/>
      <c r="C150" s="75"/>
      <c r="D150" s="76"/>
      <c r="E150" s="78"/>
      <c r="F150" s="79">
        <f t="shared" si="0"/>
        <v>1301.31</v>
      </c>
      <c r="G150" s="110"/>
      <c r="H150" s="110"/>
      <c r="I150" s="110"/>
      <c r="J150" s="110"/>
      <c r="K150" s="110"/>
      <c r="L150" s="110"/>
      <c r="M150" s="110"/>
      <c r="N150" s="110"/>
    </row>
    <row r="151" customHeight="1" spans="1:14">
      <c r="A151" s="117"/>
      <c r="B151" s="74"/>
      <c r="C151" s="75"/>
      <c r="D151" s="76"/>
      <c r="E151" s="78"/>
      <c r="F151" s="79">
        <f t="shared" si="0"/>
        <v>1301.31</v>
      </c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17"/>
      <c r="B152" s="74"/>
      <c r="C152" s="75"/>
      <c r="D152" s="76"/>
      <c r="E152" s="78"/>
      <c r="F152" s="79">
        <f t="shared" si="0"/>
        <v>1301.31</v>
      </c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17"/>
      <c r="B153" s="74"/>
      <c r="C153" s="75"/>
      <c r="D153" s="76"/>
      <c r="E153" s="78"/>
      <c r="F153" s="79">
        <f t="shared" si="0"/>
        <v>1301.31</v>
      </c>
      <c r="G153" s="110"/>
      <c r="H153" s="110"/>
      <c r="I153" s="110"/>
      <c r="J153" s="110"/>
      <c r="K153" s="110"/>
      <c r="L153" s="110"/>
      <c r="M153" s="110"/>
      <c r="N153" s="110"/>
    </row>
    <row r="154" customHeight="1" spans="1:14">
      <c r="A154" s="117"/>
      <c r="B154" s="74"/>
      <c r="C154" s="75"/>
      <c r="D154" s="76"/>
      <c r="E154" s="78"/>
      <c r="F154" s="79">
        <f t="shared" si="0"/>
        <v>1301.31</v>
      </c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17"/>
      <c r="B155" s="74"/>
      <c r="C155" s="75"/>
      <c r="D155" s="76"/>
      <c r="E155" s="78"/>
      <c r="F155" s="79">
        <f t="shared" si="0"/>
        <v>1301.31</v>
      </c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17"/>
      <c r="B156" s="74"/>
      <c r="C156" s="75"/>
      <c r="D156" s="76"/>
      <c r="E156" s="78"/>
      <c r="F156" s="79">
        <f t="shared" si="0"/>
        <v>1301.31</v>
      </c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17"/>
      <c r="B157" s="74"/>
      <c r="C157" s="75"/>
      <c r="D157" s="76"/>
      <c r="E157" s="78"/>
      <c r="F157" s="79">
        <f t="shared" si="0"/>
        <v>1301.31</v>
      </c>
      <c r="G157" s="77"/>
      <c r="H157" s="77"/>
      <c r="I157" s="77"/>
      <c r="J157" s="77"/>
      <c r="K157" s="77"/>
      <c r="L157" s="110"/>
      <c r="M157" s="77"/>
      <c r="N157" s="77"/>
    </row>
    <row r="158" customHeight="1" spans="1:14">
      <c r="A158" s="117"/>
      <c r="B158" s="74"/>
      <c r="C158" s="75"/>
      <c r="D158" s="76"/>
      <c r="E158" s="78"/>
      <c r="F158" s="79">
        <f t="shared" si="0"/>
        <v>1301.31</v>
      </c>
      <c r="G158" s="77"/>
      <c r="H158" s="77"/>
      <c r="I158" s="77"/>
      <c r="J158" s="77"/>
      <c r="K158" s="77"/>
      <c r="L158" s="110"/>
      <c r="M158" s="77"/>
      <c r="N158" s="77"/>
    </row>
    <row r="159" customHeight="1" spans="1:14">
      <c r="A159" s="117"/>
      <c r="B159" s="74"/>
      <c r="C159" s="75"/>
      <c r="D159" s="76"/>
      <c r="E159" s="78"/>
      <c r="F159" s="79">
        <f t="shared" si="0"/>
        <v>1301.31</v>
      </c>
      <c r="G159" s="158"/>
      <c r="H159" s="158"/>
      <c r="I159" s="158"/>
      <c r="J159" s="158"/>
      <c r="K159" s="158"/>
      <c r="L159" s="158"/>
      <c r="M159" s="158"/>
      <c r="N159" s="158"/>
    </row>
    <row r="160" customHeight="1" spans="1:14">
      <c r="A160" s="117"/>
      <c r="B160" s="74"/>
      <c r="C160" s="75"/>
      <c r="D160" s="76"/>
      <c r="E160" s="78"/>
      <c r="F160" s="79">
        <f t="shared" si="0"/>
        <v>1301.31</v>
      </c>
      <c r="G160" s="158"/>
      <c r="H160" s="158"/>
      <c r="I160" s="158"/>
      <c r="J160" s="158"/>
      <c r="K160" s="158"/>
      <c r="L160" s="158"/>
      <c r="M160" s="158"/>
      <c r="N160" s="158"/>
    </row>
    <row r="161" customHeight="1" spans="1:14">
      <c r="A161" s="117"/>
      <c r="B161" s="74"/>
      <c r="C161" s="75"/>
      <c r="D161" s="76"/>
      <c r="E161" s="78"/>
      <c r="F161" s="79">
        <f t="shared" si="0"/>
        <v>1301.31</v>
      </c>
      <c r="G161" s="158"/>
      <c r="H161" s="158"/>
      <c r="I161" s="158"/>
      <c r="J161" s="158"/>
      <c r="K161" s="158"/>
      <c r="L161" s="158"/>
      <c r="M161" s="158"/>
      <c r="N161" s="158"/>
    </row>
    <row r="162" customHeight="1" spans="1:14">
      <c r="A162" s="117"/>
      <c r="B162" s="74"/>
      <c r="C162" s="75"/>
      <c r="D162" s="76"/>
      <c r="E162" s="78"/>
      <c r="F162" s="79">
        <f t="shared" si="0"/>
        <v>1301.31</v>
      </c>
      <c r="G162" s="110"/>
      <c r="H162" s="110"/>
      <c r="I162" s="110"/>
      <c r="J162" s="110"/>
      <c r="K162" s="110"/>
      <c r="L162" s="110"/>
      <c r="M162" s="110"/>
      <c r="N162" s="110"/>
    </row>
    <row r="163" customHeight="1" spans="1:14">
      <c r="A163" s="117"/>
      <c r="B163" s="74"/>
      <c r="C163" s="75"/>
      <c r="D163" s="76"/>
      <c r="E163" s="78"/>
      <c r="F163" s="79">
        <f t="shared" si="0"/>
        <v>1301.31</v>
      </c>
      <c r="G163" s="110"/>
      <c r="H163" s="110"/>
      <c r="I163" s="110"/>
      <c r="J163" s="110"/>
      <c r="K163" s="110"/>
      <c r="L163" s="110"/>
      <c r="M163" s="110"/>
      <c r="N163" s="110"/>
    </row>
    <row r="164" customHeight="1" spans="1:14">
      <c r="A164" s="117"/>
      <c r="B164" s="74"/>
      <c r="C164" s="75"/>
      <c r="D164" s="76"/>
      <c r="E164" s="78"/>
      <c r="F164" s="79">
        <f t="shared" si="0"/>
        <v>1301.31</v>
      </c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17"/>
      <c r="B165" s="74"/>
      <c r="C165" s="75"/>
      <c r="D165" s="76"/>
      <c r="E165" s="78"/>
      <c r="F165" s="79">
        <f t="shared" si="0"/>
        <v>1301.31</v>
      </c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17"/>
      <c r="B166" s="74"/>
      <c r="C166" s="75"/>
      <c r="D166" s="76"/>
      <c r="E166" s="78"/>
      <c r="F166" s="79">
        <f t="shared" si="0"/>
        <v>1301.31</v>
      </c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4">
      <c r="A167" s="117"/>
      <c r="B167" s="74"/>
      <c r="C167" s="75"/>
      <c r="D167" s="76"/>
      <c r="E167" s="78"/>
      <c r="F167" s="79">
        <f t="shared" si="0"/>
        <v>1301.31</v>
      </c>
      <c r="G167" s="77"/>
      <c r="H167" s="77"/>
      <c r="I167" s="77"/>
      <c r="J167" s="77"/>
      <c r="K167" s="77"/>
      <c r="L167" s="110"/>
      <c r="M167" s="77"/>
      <c r="N167" s="77"/>
    </row>
    <row r="168" customHeight="1" spans="1:14">
      <c r="A168" s="117"/>
      <c r="B168" s="74"/>
      <c r="C168" s="75"/>
      <c r="D168" s="76"/>
      <c r="E168" s="78"/>
      <c r="F168" s="79">
        <f t="shared" si="0"/>
        <v>1301.31</v>
      </c>
      <c r="G168" s="110"/>
      <c r="H168" s="110"/>
      <c r="I168" s="110"/>
      <c r="J168" s="110"/>
      <c r="K168" s="110"/>
      <c r="L168" s="110"/>
      <c r="M168" s="110"/>
      <c r="N168" s="110"/>
    </row>
    <row r="169" customHeight="1" spans="1:14">
      <c r="A169" s="117"/>
      <c r="B169" s="74"/>
      <c r="C169" s="75"/>
      <c r="D169" s="76"/>
      <c r="E169" s="78"/>
      <c r="F169" s="79">
        <f t="shared" si="0"/>
        <v>1301.31</v>
      </c>
      <c r="G169" s="110"/>
      <c r="H169" s="110"/>
      <c r="I169" s="110"/>
      <c r="J169" s="110"/>
      <c r="K169" s="110"/>
      <c r="L169" s="110"/>
      <c r="M169" s="110"/>
      <c r="N169" s="110"/>
    </row>
    <row r="170" customHeight="1" spans="1:14">
      <c r="A170" s="117"/>
      <c r="B170" s="74"/>
      <c r="C170" s="75"/>
      <c r="D170" s="76"/>
      <c r="E170" s="78"/>
      <c r="F170" s="79">
        <f t="shared" si="0"/>
        <v>1301.31</v>
      </c>
      <c r="G170" s="110"/>
      <c r="H170" s="110"/>
      <c r="I170" s="110"/>
      <c r="J170" s="110"/>
      <c r="K170" s="110"/>
      <c r="L170" s="110"/>
      <c r="M170" s="110"/>
      <c r="N170" s="110"/>
    </row>
    <row r="171" customHeight="1" spans="1:14">
      <c r="A171" s="117"/>
      <c r="B171" s="74"/>
      <c r="C171" s="75"/>
      <c r="D171" s="76"/>
      <c r="E171" s="78"/>
      <c r="F171" s="79">
        <f t="shared" si="0"/>
        <v>1301.31</v>
      </c>
      <c r="G171" s="110"/>
      <c r="H171" s="110"/>
      <c r="I171" s="110"/>
      <c r="J171" s="110"/>
      <c r="K171" s="110"/>
      <c r="L171" s="110"/>
      <c r="M171" s="110"/>
      <c r="N171" s="110"/>
    </row>
    <row r="172" customHeight="1" spans="1:14">
      <c r="A172" s="117"/>
      <c r="B172" s="74"/>
      <c r="C172" s="75"/>
      <c r="D172" s="76"/>
      <c r="E172" s="78"/>
      <c r="F172" s="79">
        <f t="shared" si="0"/>
        <v>1301.31</v>
      </c>
      <c r="G172" s="110"/>
      <c r="H172" s="110"/>
      <c r="I172" s="110"/>
      <c r="J172" s="110"/>
      <c r="K172" s="110"/>
      <c r="L172" s="110"/>
      <c r="M172" s="110"/>
      <c r="N172" s="110"/>
    </row>
    <row r="173" customHeight="1" spans="1:14">
      <c r="A173" s="117"/>
      <c r="B173" s="74"/>
      <c r="C173" s="75"/>
      <c r="D173" s="76"/>
      <c r="E173" s="78"/>
      <c r="F173" s="79">
        <f t="shared" si="0"/>
        <v>1301.31</v>
      </c>
      <c r="G173" s="110"/>
      <c r="H173" s="110"/>
      <c r="I173" s="110"/>
      <c r="J173" s="110"/>
      <c r="K173" s="110"/>
      <c r="L173" s="110"/>
      <c r="M173" s="110"/>
      <c r="N173" s="110"/>
    </row>
    <row r="174" customHeight="1" spans="1:14">
      <c r="A174" s="117"/>
      <c r="B174" s="74"/>
      <c r="C174" s="75"/>
      <c r="D174" s="76"/>
      <c r="E174" s="78"/>
      <c r="F174" s="79">
        <f t="shared" si="0"/>
        <v>1301.31</v>
      </c>
      <c r="G174" s="110"/>
      <c r="H174" s="110"/>
      <c r="I174" s="110"/>
      <c r="J174" s="110"/>
      <c r="K174" s="110"/>
      <c r="L174" s="110"/>
      <c r="M174" s="110"/>
      <c r="N174" s="110"/>
    </row>
    <row r="175" customHeight="1" spans="1:14">
      <c r="A175" s="117"/>
      <c r="B175" s="74"/>
      <c r="C175" s="75"/>
      <c r="D175" s="76"/>
      <c r="E175" s="78"/>
      <c r="F175" s="79">
        <f t="shared" si="0"/>
        <v>1301.31</v>
      </c>
      <c r="G175" s="110"/>
      <c r="H175" s="110"/>
      <c r="I175" s="110"/>
      <c r="J175" s="110"/>
      <c r="K175" s="110"/>
      <c r="L175" s="110"/>
      <c r="M175" s="110"/>
      <c r="N175" s="110"/>
    </row>
    <row r="176" customHeight="1" spans="1:14">
      <c r="A176" s="117"/>
      <c r="B176" s="74"/>
      <c r="C176" s="75"/>
      <c r="D176" s="76"/>
      <c r="E176" s="78"/>
      <c r="F176" s="79">
        <f t="shared" si="0"/>
        <v>1301.31</v>
      </c>
      <c r="G176" s="110"/>
      <c r="H176" s="110"/>
      <c r="I176" s="110"/>
      <c r="J176" s="110"/>
      <c r="K176" s="110"/>
      <c r="L176" s="110"/>
      <c r="M176" s="110"/>
      <c r="N176" s="110"/>
    </row>
    <row r="177" customHeight="1" spans="1:14">
      <c r="A177" s="117"/>
      <c r="B177" s="74"/>
      <c r="C177" s="75"/>
      <c r="D177" s="76"/>
      <c r="E177" s="78"/>
      <c r="F177" s="79">
        <f t="shared" si="0"/>
        <v>1301.31</v>
      </c>
      <c r="G177" s="110"/>
      <c r="H177" s="110"/>
      <c r="I177" s="110"/>
      <c r="J177" s="110"/>
      <c r="K177" s="110"/>
      <c r="L177" s="110"/>
      <c r="M177" s="110"/>
      <c r="N177" s="110"/>
    </row>
    <row r="178" customHeight="1" spans="1:14">
      <c r="A178" s="117"/>
      <c r="B178" s="74"/>
      <c r="C178" s="75"/>
      <c r="D178" s="76"/>
      <c r="E178" s="78"/>
      <c r="F178" s="79">
        <f t="shared" si="0"/>
        <v>1301.31</v>
      </c>
      <c r="G178" s="110"/>
      <c r="H178" s="110"/>
      <c r="I178" s="110"/>
      <c r="J178" s="110"/>
      <c r="K178" s="110"/>
      <c r="L178" s="110"/>
      <c r="M178" s="110"/>
      <c r="N178" s="110"/>
    </row>
    <row r="179" customHeight="1" spans="1:14">
      <c r="A179" s="117"/>
      <c r="B179" s="74"/>
      <c r="C179" s="75"/>
      <c r="D179" s="76"/>
      <c r="E179" s="78"/>
      <c r="F179" s="79">
        <f t="shared" si="0"/>
        <v>1301.31</v>
      </c>
      <c r="G179" s="110"/>
      <c r="H179" s="110"/>
      <c r="I179" s="110"/>
      <c r="J179" s="110"/>
      <c r="K179" s="110"/>
      <c r="L179" s="110"/>
      <c r="M179" s="110"/>
      <c r="N179" s="110"/>
    </row>
    <row r="180" customHeight="1" spans="1:14">
      <c r="A180" s="117"/>
      <c r="B180" s="74"/>
      <c r="C180" s="75"/>
      <c r="D180" s="76"/>
      <c r="E180" s="78"/>
      <c r="F180" s="79">
        <f t="shared" si="0"/>
        <v>1301.31</v>
      </c>
      <c r="G180" s="110"/>
      <c r="H180" s="110"/>
      <c r="I180" s="110"/>
      <c r="J180" s="110"/>
      <c r="K180" s="110"/>
      <c r="L180" s="110"/>
      <c r="M180" s="110"/>
      <c r="N180" s="110"/>
    </row>
    <row r="181" customHeight="1" spans="1:14">
      <c r="A181" s="117"/>
      <c r="B181" s="74"/>
      <c r="C181" s="75"/>
      <c r="D181" s="76"/>
      <c r="E181" s="78"/>
      <c r="F181" s="79">
        <f t="shared" si="0"/>
        <v>1301.31</v>
      </c>
      <c r="G181" s="110"/>
      <c r="H181" s="110"/>
      <c r="I181" s="110"/>
      <c r="J181" s="110"/>
      <c r="K181" s="110"/>
      <c r="L181" s="110"/>
      <c r="M181" s="110"/>
      <c r="N181" s="110"/>
    </row>
    <row r="182" customHeight="1" spans="1:14">
      <c r="A182" s="117"/>
      <c r="B182" s="74"/>
      <c r="C182" s="75"/>
      <c r="D182" s="76"/>
      <c r="E182" s="78"/>
      <c r="F182" s="79">
        <f t="shared" si="0"/>
        <v>1301.31</v>
      </c>
      <c r="G182" s="110"/>
      <c r="H182" s="110"/>
      <c r="I182" s="110"/>
      <c r="J182" s="110"/>
      <c r="K182" s="110"/>
      <c r="L182" s="110"/>
      <c r="M182" s="110"/>
      <c r="N182" s="110"/>
    </row>
    <row r="183" customHeight="1" spans="1:14">
      <c r="A183" s="117"/>
      <c r="B183" s="74"/>
      <c r="C183" s="75"/>
      <c r="D183" s="76"/>
      <c r="E183" s="78"/>
      <c r="F183" s="79">
        <f t="shared" si="0"/>
        <v>1301.31</v>
      </c>
      <c r="G183" s="110"/>
      <c r="H183" s="110"/>
      <c r="I183" s="110"/>
      <c r="J183" s="110"/>
      <c r="K183" s="110"/>
      <c r="L183" s="110"/>
      <c r="M183" s="110"/>
      <c r="N183" s="110"/>
    </row>
    <row r="184" customHeight="1" spans="1:14">
      <c r="A184" s="117"/>
      <c r="B184" s="74"/>
      <c r="C184" s="75"/>
      <c r="D184" s="76"/>
      <c r="E184" s="78"/>
      <c r="F184" s="79">
        <f t="shared" si="0"/>
        <v>1301.31</v>
      </c>
      <c r="G184" s="110"/>
      <c r="H184" s="110"/>
      <c r="I184" s="110"/>
      <c r="J184" s="110"/>
      <c r="K184" s="110"/>
      <c r="L184" s="110"/>
      <c r="M184" s="110"/>
      <c r="N184" s="110"/>
    </row>
    <row r="185" customHeight="1" spans="1:14">
      <c r="A185" s="117"/>
      <c r="B185" s="74"/>
      <c r="C185" s="75"/>
      <c r="D185" s="76"/>
      <c r="E185" s="78"/>
      <c r="F185" s="79">
        <f t="shared" si="0"/>
        <v>1301.31</v>
      </c>
      <c r="G185" s="110"/>
      <c r="H185" s="110"/>
      <c r="I185" s="110"/>
      <c r="J185" s="110"/>
      <c r="K185" s="110"/>
      <c r="L185" s="110"/>
      <c r="M185" s="110"/>
      <c r="N185" s="110"/>
    </row>
    <row r="186" customHeight="1" spans="1:14">
      <c r="A186" s="117"/>
      <c r="B186" s="74"/>
      <c r="C186" s="75"/>
      <c r="D186" s="76"/>
      <c r="E186" s="78"/>
      <c r="F186" s="79">
        <f t="shared" si="0"/>
        <v>1301.31</v>
      </c>
      <c r="G186" s="110"/>
      <c r="H186" s="110"/>
      <c r="I186" s="110"/>
      <c r="J186" s="110"/>
      <c r="K186" s="110"/>
      <c r="L186" s="110"/>
      <c r="M186" s="110"/>
      <c r="N186" s="110"/>
    </row>
    <row r="187" customHeight="1" spans="1:14">
      <c r="A187" s="117"/>
      <c r="B187" s="74"/>
      <c r="C187" s="75"/>
      <c r="D187" s="76"/>
      <c r="E187" s="78"/>
      <c r="F187" s="79">
        <f t="shared" si="0"/>
        <v>1301.31</v>
      </c>
      <c r="G187" s="110"/>
      <c r="H187" s="110"/>
      <c r="I187" s="110"/>
      <c r="J187" s="110"/>
      <c r="K187" s="110"/>
      <c r="L187" s="110"/>
      <c r="M187" s="110"/>
      <c r="N187" s="110"/>
    </row>
    <row r="188" customHeight="1" spans="1:14">
      <c r="A188" s="117"/>
      <c r="B188" s="74"/>
      <c r="C188" s="75"/>
      <c r="D188" s="76"/>
      <c r="E188" s="78"/>
      <c r="F188" s="79">
        <f t="shared" si="0"/>
        <v>1301.31</v>
      </c>
      <c r="G188" s="110"/>
      <c r="H188" s="110"/>
      <c r="I188" s="110"/>
      <c r="J188" s="110"/>
      <c r="K188" s="110"/>
      <c r="L188" s="110"/>
      <c r="M188" s="110"/>
      <c r="N188" s="110"/>
    </row>
    <row r="189" customHeight="1" spans="1:14">
      <c r="A189" s="117"/>
      <c r="B189" s="74"/>
      <c r="C189" s="75"/>
      <c r="D189" s="76"/>
      <c r="E189" s="78"/>
      <c r="F189" s="79">
        <f t="shared" si="0"/>
        <v>1301.31</v>
      </c>
      <c r="G189" s="110"/>
      <c r="H189" s="110"/>
      <c r="I189" s="110"/>
      <c r="J189" s="110"/>
      <c r="K189" s="110"/>
      <c r="L189" s="110"/>
      <c r="M189" s="110"/>
      <c r="N189" s="110"/>
    </row>
    <row r="190" customHeight="1" spans="1:14">
      <c r="A190" s="117"/>
      <c r="B190" s="74"/>
      <c r="C190" s="75"/>
      <c r="D190" s="76"/>
      <c r="E190" s="78"/>
      <c r="F190" s="79">
        <f t="shared" si="0"/>
        <v>1301.31</v>
      </c>
      <c r="G190" s="110"/>
      <c r="H190" s="110"/>
      <c r="I190" s="110"/>
      <c r="J190" s="110"/>
      <c r="K190" s="110"/>
      <c r="L190" s="110"/>
      <c r="M190" s="110"/>
      <c r="N190" s="110"/>
    </row>
    <row r="191" customHeight="1" spans="1:14">
      <c r="A191" s="117"/>
      <c r="B191" s="74"/>
      <c r="C191" s="75"/>
      <c r="D191" s="76"/>
      <c r="E191" s="78"/>
      <c r="F191" s="79">
        <f t="shared" si="0"/>
        <v>1301.31</v>
      </c>
      <c r="G191" s="110"/>
      <c r="H191" s="110"/>
      <c r="I191" s="110"/>
      <c r="J191" s="110"/>
      <c r="K191" s="110"/>
      <c r="L191" s="110"/>
      <c r="M191" s="110"/>
      <c r="N191" s="110"/>
    </row>
    <row r="192" customHeight="1" spans="1:14">
      <c r="A192" s="117"/>
      <c r="B192" s="74"/>
      <c r="C192" s="75"/>
      <c r="D192" s="76"/>
      <c r="E192" s="78"/>
      <c r="F192" s="79">
        <f t="shared" si="0"/>
        <v>1301.31</v>
      </c>
      <c r="G192" s="110"/>
      <c r="H192" s="110"/>
      <c r="I192" s="110"/>
      <c r="J192" s="110"/>
      <c r="K192" s="110"/>
      <c r="L192" s="110"/>
      <c r="M192" s="110"/>
      <c r="N192" s="110"/>
    </row>
    <row r="193" customHeight="1" spans="1:14">
      <c r="A193" s="117"/>
      <c r="B193" s="74"/>
      <c r="C193" s="75"/>
      <c r="D193" s="76"/>
      <c r="E193" s="78"/>
      <c r="F193" s="79">
        <f t="shared" si="0"/>
        <v>1301.31</v>
      </c>
      <c r="G193" s="110"/>
      <c r="H193" s="110"/>
      <c r="I193" s="110"/>
      <c r="J193" s="110"/>
      <c r="K193" s="110"/>
      <c r="L193" s="110"/>
      <c r="M193" s="110"/>
      <c r="N193" s="110"/>
    </row>
    <row r="194" customHeight="1" spans="1:14">
      <c r="A194" s="117"/>
      <c r="B194" s="74"/>
      <c r="C194" s="75"/>
      <c r="D194" s="76"/>
      <c r="E194" s="78"/>
      <c r="F194" s="79">
        <f t="shared" si="0"/>
        <v>1301.31</v>
      </c>
      <c r="G194" s="110"/>
      <c r="H194" s="110"/>
      <c r="I194" s="110"/>
      <c r="J194" s="110"/>
      <c r="K194" s="110"/>
      <c r="L194" s="110"/>
      <c r="M194" s="110"/>
      <c r="N194" s="110"/>
    </row>
    <row r="195" customHeight="1" spans="1:14">
      <c r="A195" s="117"/>
      <c r="B195" s="74"/>
      <c r="C195" s="75"/>
      <c r="D195" s="76"/>
      <c r="E195" s="78"/>
      <c r="F195" s="79">
        <f t="shared" si="0"/>
        <v>1301.31</v>
      </c>
      <c r="G195" s="110"/>
      <c r="H195" s="110"/>
      <c r="I195" s="110"/>
      <c r="J195" s="110"/>
      <c r="K195" s="110"/>
      <c r="L195" s="110"/>
      <c r="M195" s="110"/>
      <c r="N195" s="110"/>
    </row>
    <row r="196" customHeight="1" spans="1:14">
      <c r="A196" s="117"/>
      <c r="B196" s="74"/>
      <c r="C196" s="75"/>
      <c r="D196" s="76"/>
      <c r="E196" s="78"/>
      <c r="F196" s="79">
        <f t="shared" si="0"/>
        <v>1301.31</v>
      </c>
      <c r="G196" s="110"/>
      <c r="H196" s="110"/>
      <c r="I196" s="110"/>
      <c r="J196" s="110"/>
      <c r="K196" s="110"/>
      <c r="L196" s="110"/>
      <c r="M196" s="110"/>
      <c r="N196" s="110"/>
    </row>
    <row r="197" customHeight="1" spans="1:14">
      <c r="A197" s="117"/>
      <c r="B197" s="74"/>
      <c r="C197" s="75"/>
      <c r="D197" s="76"/>
      <c r="E197" s="78"/>
      <c r="F197" s="79">
        <f t="shared" si="0"/>
        <v>1301.31</v>
      </c>
      <c r="G197" s="110"/>
      <c r="H197" s="110"/>
      <c r="I197" s="110"/>
      <c r="J197" s="110"/>
      <c r="K197" s="110"/>
      <c r="L197" s="110"/>
      <c r="M197" s="110"/>
      <c r="N197" s="110"/>
    </row>
    <row r="198" customHeight="1" spans="1:14">
      <c r="A198" s="117"/>
      <c r="B198" s="74"/>
      <c r="C198" s="75"/>
      <c r="D198" s="76"/>
      <c r="E198" s="78"/>
      <c r="F198" s="79">
        <f t="shared" si="0"/>
        <v>1301.31</v>
      </c>
      <c r="G198" s="110"/>
      <c r="H198" s="110"/>
      <c r="I198" s="110"/>
      <c r="J198" s="110"/>
      <c r="K198" s="110"/>
      <c r="L198" s="110"/>
      <c r="M198" s="110"/>
      <c r="N198" s="110"/>
    </row>
    <row r="199" customHeight="1" spans="1:14">
      <c r="A199" s="117"/>
      <c r="B199" s="74"/>
      <c r="C199" s="75"/>
      <c r="D199" s="76"/>
      <c r="E199" s="78"/>
      <c r="F199" s="79">
        <f t="shared" si="0"/>
        <v>1301.31</v>
      </c>
      <c r="G199" s="110"/>
      <c r="H199" s="110"/>
      <c r="I199" s="110"/>
      <c r="J199" s="110"/>
      <c r="K199" s="110"/>
      <c r="L199" s="110"/>
      <c r="M199" s="110"/>
      <c r="N199" s="110"/>
    </row>
    <row r="200" customHeight="1" spans="1:14">
      <c r="A200" s="117"/>
      <c r="B200" s="74"/>
      <c r="C200" s="75"/>
      <c r="D200" s="76"/>
      <c r="E200" s="78"/>
      <c r="F200" s="79">
        <f t="shared" si="0"/>
        <v>1301.31</v>
      </c>
      <c r="G200" s="110"/>
      <c r="H200" s="110"/>
      <c r="I200" s="110"/>
      <c r="J200" s="110"/>
      <c r="K200" s="110"/>
      <c r="L200" s="110"/>
      <c r="M200" s="110"/>
      <c r="N200" s="110"/>
    </row>
    <row r="201" customHeight="1" spans="1:2">
      <c r="A201" s="47"/>
      <c r="B201" s="48"/>
    </row>
    <row r="202" customHeight="1" spans="1:2">
      <c r="A202" s="47"/>
      <c r="B202" s="48"/>
    </row>
    <row r="203" customHeight="1" spans="1:2">
      <c r="A203" s="47"/>
      <c r="B203" s="48"/>
    </row>
    <row r="204" customHeight="1" spans="1:10">
      <c r="A204" s="47"/>
      <c r="B204" s="48"/>
      <c r="D204" s="126" t="s">
        <v>294</v>
      </c>
      <c r="E204" s="126" t="s">
        <v>295</v>
      </c>
      <c r="F204" s="126" t="s">
        <v>15</v>
      </c>
      <c r="I204" s="67" t="s">
        <v>24</v>
      </c>
      <c r="J204" s="67">
        <v>15000</v>
      </c>
    </row>
    <row r="205" customHeight="1" spans="1:10">
      <c r="A205" s="47"/>
      <c r="B205" s="48"/>
      <c r="D205" s="70">
        <f t="shared" ref="D205:E205" si="1">SUM(D3:D200)</f>
        <v>52698.45</v>
      </c>
      <c r="E205" s="70">
        <f t="shared" si="1"/>
        <v>51397.14</v>
      </c>
      <c r="F205" s="70">
        <f>D205-E205</f>
        <v>1301.31</v>
      </c>
      <c r="I205" s="67" t="s">
        <v>230</v>
      </c>
      <c r="J205" s="67">
        <v>4000</v>
      </c>
    </row>
    <row r="206" customHeight="1" spans="1:6">
      <c r="A206" s="47"/>
      <c r="B206" s="48"/>
      <c r="D206" s="52" t="s">
        <v>417</v>
      </c>
      <c r="E206" s="53">
        <f t="shared" ref="E206:E207" si="2">E205-J204</f>
        <v>36397.14</v>
      </c>
      <c r="F206" s="54"/>
    </row>
    <row r="207" customHeight="1" spans="1:6">
      <c r="A207" s="47"/>
      <c r="B207" s="48"/>
      <c r="D207" s="52" t="s">
        <v>497</v>
      </c>
      <c r="E207" s="53">
        <f t="shared" si="2"/>
        <v>32397.14</v>
      </c>
      <c r="F207" s="54"/>
    </row>
    <row r="208" customHeight="1" spans="1:2">
      <c r="A208" s="47"/>
      <c r="B208" s="48"/>
    </row>
    <row r="209" customHeight="1" spans="1:13">
      <c r="A209" s="47"/>
      <c r="B209" s="48"/>
      <c r="K209" s="71"/>
      <c r="L209" s="72"/>
      <c r="M209" s="72"/>
    </row>
    <row r="210" customHeight="1" spans="1:13">
      <c r="A210" s="47"/>
      <c r="B210" s="48"/>
      <c r="K210" s="71"/>
      <c r="L210" s="72"/>
      <c r="M210" s="72"/>
    </row>
    <row r="211" customHeight="1" spans="1:6">
      <c r="A211" s="47"/>
      <c r="B211" s="48"/>
      <c r="D211" s="55" t="s">
        <v>27</v>
      </c>
      <c r="E211" s="53">
        <f ca="1">SUMIF(C$3:E$208,"Grocery",E$3:E$208)</f>
        <v>10687.51</v>
      </c>
      <c r="F211" s="56">
        <f ca="1">SUM(E211:E213)</f>
        <v>15729.7</v>
      </c>
    </row>
    <row r="212" customHeight="1" spans="1:6">
      <c r="A212" s="47"/>
      <c r="B212" s="48"/>
      <c r="D212" s="55" t="s">
        <v>224</v>
      </c>
      <c r="E212" s="53">
        <f ca="1">SUMIF(C$3:E$208,"Snacks",E$3:E$208)</f>
        <v>759.49</v>
      </c>
      <c r="F212" s="57"/>
    </row>
    <row r="213" customHeight="1" spans="1:6">
      <c r="A213" s="47"/>
      <c r="B213" s="48"/>
      <c r="D213" s="55" t="s">
        <v>299</v>
      </c>
      <c r="E213" s="53">
        <f ca="1">SUMIF(C$3:E$208,"Food",E$3:E$208)</f>
        <v>4282.7</v>
      </c>
      <c r="F213" s="58"/>
    </row>
    <row r="214" customHeight="1" spans="1:5">
      <c r="A214" s="47"/>
      <c r="B214" s="48"/>
      <c r="D214" s="55" t="s">
        <v>245</v>
      </c>
      <c r="E214" s="53">
        <f ca="1">SUMIF(C$3:E$208,"Health",E$3:E$208)</f>
        <v>4590</v>
      </c>
    </row>
    <row r="215" customHeight="1" spans="1:7">
      <c r="A215" s="47"/>
      <c r="B215" s="48"/>
      <c r="D215" s="55" t="s">
        <v>54</v>
      </c>
      <c r="E215" s="53">
        <f ca="1">SUMIF(C$3:E$208,"Dress",E$3:E$208)</f>
        <v>257</v>
      </c>
      <c r="F215" s="59"/>
      <c r="G215" s="60"/>
    </row>
    <row r="216" customHeight="1" spans="1:5">
      <c r="A216" s="47"/>
      <c r="B216" s="48"/>
      <c r="D216" s="55" t="s">
        <v>214</v>
      </c>
      <c r="E216" s="53">
        <f ca="1">SUMIF(C$3:E$208,"Home",E$3:E$208)</f>
        <v>19579.45</v>
      </c>
    </row>
    <row r="217" customHeight="1" spans="1:7">
      <c r="A217" s="47"/>
      <c r="B217" s="48"/>
      <c r="D217" s="55" t="s">
        <v>281</v>
      </c>
      <c r="E217" s="53">
        <f ca="1">SUMIF(C$3:E$208,"Tickets",E$3:E$208)</f>
        <v>3869</v>
      </c>
      <c r="F217" s="61">
        <f ca="1">SUM(E217:E219)</f>
        <v>5379</v>
      </c>
      <c r="G217" s="62"/>
    </row>
    <row r="218" customHeight="1" spans="1:8">
      <c r="A218" s="47"/>
      <c r="B218" s="48"/>
      <c r="D218" s="55" t="s">
        <v>210</v>
      </c>
      <c r="E218" s="53">
        <f ca="1">SUMIF(C$3:E$208,"Transport",E$3:E$208)</f>
        <v>700</v>
      </c>
      <c r="F218" s="66"/>
      <c r="H218" s="67" t="s">
        <v>300</v>
      </c>
    </row>
    <row r="219" customHeight="1" spans="1:8">
      <c r="A219" s="47"/>
      <c r="B219" s="48"/>
      <c r="D219" s="55" t="s">
        <v>201</v>
      </c>
      <c r="E219" s="53">
        <f ca="1">SUMIF(C$3:E$208,"Fuel",E$3:E$208)</f>
        <v>810</v>
      </c>
      <c r="F219" s="68"/>
      <c r="H219" s="53">
        <f ca="1">E205-E221</f>
        <v>0</v>
      </c>
    </row>
    <row r="220" customHeight="1" spans="1:5">
      <c r="A220" s="47"/>
      <c r="B220" s="48"/>
      <c r="D220" s="55" t="s">
        <v>219</v>
      </c>
      <c r="E220" s="53">
        <f ca="1">SUMIF(C$3:E$208,"Others",E$3:E$208)</f>
        <v>5861.99</v>
      </c>
    </row>
    <row r="221" customHeight="1" spans="1:5">
      <c r="A221" s="47"/>
      <c r="B221" s="48"/>
      <c r="D221" s="69" t="s">
        <v>7</v>
      </c>
      <c r="E221" s="70">
        <f ca="1">SUM(E211:E220)</f>
        <v>51397.14</v>
      </c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2">
      <c r="A224" s="47"/>
      <c r="B224" s="48"/>
    </row>
    <row r="225" customHeight="1" spans="1:2">
      <c r="A225" s="47"/>
      <c r="B225" s="48"/>
    </row>
    <row r="226" customHeight="1" spans="1:2">
      <c r="A226" s="47"/>
      <c r="B226" s="48"/>
    </row>
    <row r="227" customHeight="1" spans="1:2">
      <c r="A227" s="47"/>
      <c r="B227" s="48"/>
    </row>
    <row r="228" customHeight="1" spans="1:2">
      <c r="A228" s="47"/>
      <c r="B228" s="48"/>
    </row>
    <row r="229" customHeight="1" spans="1:2">
      <c r="A229" s="47"/>
      <c r="B229" s="48"/>
    </row>
    <row r="230" customHeight="1" spans="1:2">
      <c r="A230" s="47"/>
      <c r="B230" s="48"/>
    </row>
    <row r="231" customHeight="1" spans="1:2">
      <c r="A231" s="47"/>
      <c r="B231" s="48"/>
    </row>
    <row r="232" customHeight="1" spans="1:2">
      <c r="A232" s="47"/>
      <c r="B232" s="48"/>
    </row>
    <row r="233" customHeight="1" spans="1:2">
      <c r="A233" s="47"/>
      <c r="B233" s="48"/>
    </row>
    <row r="234" customHeight="1" spans="1:2">
      <c r="A234" s="47"/>
      <c r="B234" s="48"/>
    </row>
    <row r="235" customHeight="1" spans="1:2">
      <c r="A235" s="47"/>
      <c r="B235" s="48"/>
    </row>
    <row r="236" customHeight="1" spans="1:2">
      <c r="A236" s="47"/>
      <c r="B236" s="48"/>
    </row>
    <row r="237" customHeight="1" spans="1:2">
      <c r="A237" s="47"/>
      <c r="B237" s="48"/>
    </row>
    <row r="238" customHeight="1" spans="1:2">
      <c r="A238" s="47"/>
      <c r="B238" s="48"/>
    </row>
    <row r="239" customHeight="1" spans="1:2">
      <c r="A239" s="47"/>
      <c r="B239" s="48"/>
    </row>
    <row r="240" customHeight="1" spans="1:2">
      <c r="A240" s="47"/>
      <c r="B240" s="48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2">
      <c r="A971" s="47"/>
      <c r="B971" s="48"/>
    </row>
    <row r="972" customHeight="1" spans="1:2">
      <c r="A972" s="47"/>
      <c r="B972" s="48"/>
    </row>
    <row r="973" customHeight="1" spans="1:2">
      <c r="A973" s="47"/>
      <c r="B973" s="48"/>
    </row>
    <row r="974" customHeight="1" spans="1:2">
      <c r="A974" s="47"/>
      <c r="B974" s="48"/>
    </row>
    <row r="975" customHeight="1" spans="1:2">
      <c r="A975" s="47"/>
      <c r="B975" s="48"/>
    </row>
    <row r="976" customHeight="1" spans="1:2">
      <c r="A976" s="47"/>
      <c r="B976" s="48"/>
    </row>
    <row r="977" customHeight="1" spans="1:2">
      <c r="A977" s="47"/>
      <c r="B977" s="48"/>
    </row>
    <row r="978" customHeight="1" spans="1:2">
      <c r="A978" s="47"/>
      <c r="B978" s="48"/>
    </row>
    <row r="979" customHeight="1" spans="1:2">
      <c r="A979" s="47"/>
      <c r="B979" s="48"/>
    </row>
    <row r="980" customHeight="1" spans="1:2">
      <c r="A980" s="47"/>
      <c r="B980" s="48"/>
    </row>
    <row r="981" customHeight="1" spans="1:2">
      <c r="A981" s="47"/>
      <c r="B981" s="48"/>
    </row>
    <row r="982" customHeight="1" spans="1:2">
      <c r="A982" s="47"/>
      <c r="B982" s="48"/>
    </row>
    <row r="983" customHeight="1" spans="1:2">
      <c r="A983" s="47"/>
      <c r="B983" s="48"/>
    </row>
    <row r="984" customHeight="1" spans="1:2">
      <c r="A984" s="47"/>
      <c r="B984" s="48"/>
    </row>
    <row r="985" customHeight="1" spans="1:2">
      <c r="A985" s="47"/>
      <c r="B985" s="48"/>
    </row>
    <row r="986" customHeight="1" spans="1:2">
      <c r="A986" s="47"/>
      <c r="B986" s="48"/>
    </row>
    <row r="987" customHeight="1" spans="1:2">
      <c r="A987" s="47"/>
      <c r="B987" s="48"/>
    </row>
    <row r="988" customHeight="1" spans="1:2">
      <c r="A988" s="47"/>
      <c r="B988" s="48"/>
    </row>
    <row r="989" customHeight="1" spans="1:1">
      <c r="A989" s="47"/>
    </row>
    <row r="990" customHeight="1" spans="1:1">
      <c r="A990" s="47"/>
    </row>
    <row r="991" customHeight="1" spans="1:1">
      <c r="A991" s="47"/>
    </row>
    <row r="992" customHeight="1" spans="1:1">
      <c r="A992" s="47"/>
    </row>
    <row r="993" customHeight="1" spans="1:1">
      <c r="A993" s="47"/>
    </row>
    <row r="994" customHeight="1" spans="1:1">
      <c r="A994" s="47"/>
    </row>
    <row r="995" customHeight="1" spans="1:1">
      <c r="A995" s="47"/>
    </row>
    <row r="996" customHeight="1" spans="1:1">
      <c r="A996" s="47"/>
    </row>
    <row r="997" customHeight="1" spans="1:1">
      <c r="A997" s="47"/>
    </row>
    <row r="998" customHeight="1" spans="1:1">
      <c r="A998" s="47"/>
    </row>
    <row r="999" customHeight="1" spans="1:1">
      <c r="A999" s="47"/>
    </row>
    <row r="1000" customHeight="1" spans="1:1">
      <c r="A1000" s="47"/>
    </row>
    <row r="1001" customHeight="1" spans="1:1">
      <c r="A1001" s="47"/>
    </row>
    <row r="1002" customHeight="1" spans="1:1">
      <c r="A1002" s="47"/>
    </row>
    <row r="1003" customHeight="1" spans="1:1">
      <c r="A1003" s="47"/>
    </row>
    <row r="1004" customHeight="1" spans="1:1">
      <c r="A1004" s="47"/>
    </row>
    <row r="1005" customHeight="1" spans="1:1">
      <c r="A1005" s="47"/>
    </row>
    <row r="1006" customHeight="1" spans="1:1">
      <c r="A1006" s="47"/>
    </row>
    <row r="1007" customHeight="1" spans="1:1">
      <c r="A1007" s="47"/>
    </row>
    <row r="1008" customHeight="1" spans="1:1">
      <c r="A1008" s="47"/>
    </row>
    <row r="1009" customHeight="1" spans="1:1">
      <c r="A1009" s="47"/>
    </row>
    <row r="1010" customHeight="1" spans="1:1">
      <c r="A1010" s="47"/>
    </row>
    <row r="1011" customHeight="1" spans="1:1">
      <c r="A1011" s="47"/>
    </row>
    <row r="1012" customHeight="1" spans="1:1">
      <c r="A1012" s="47"/>
    </row>
    <row r="1013" customHeight="1" spans="1:1">
      <c r="A1013" s="47"/>
    </row>
    <row r="1014" customHeight="1" spans="1:1">
      <c r="A1014" s="47"/>
    </row>
    <row r="1015" customHeight="1" spans="1:1">
      <c r="A1015" s="47"/>
    </row>
    <row r="1016" customHeight="1" spans="1:1">
      <c r="A1016" s="47"/>
    </row>
    <row r="1017" customHeight="1" spans="1:1">
      <c r="A1017" s="47"/>
    </row>
    <row r="1018" customHeight="1" spans="1:1">
      <c r="A1018" s="47"/>
    </row>
    <row r="1019" customHeight="1" spans="1:1">
      <c r="A1019" s="47"/>
    </row>
    <row r="1020" customHeight="1" spans="1:1">
      <c r="A1020" s="47"/>
    </row>
    <row r="1021" customHeight="1" spans="1:1">
      <c r="A1021" s="47"/>
    </row>
    <row r="1022" customHeight="1" spans="1:1">
      <c r="A1022" s="47"/>
    </row>
    <row r="1023" customHeight="1" spans="1:1">
      <c r="A1023" s="47"/>
    </row>
    <row r="1024" customHeight="1" spans="1:1">
      <c r="A1024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211:F213"/>
    <mergeCell ref="F217:F219"/>
    <mergeCell ref="G1:G2"/>
    <mergeCell ref="H1:H2"/>
    <mergeCell ref="I1:I2"/>
    <mergeCell ref="J1:J2"/>
    <mergeCell ref="K1:K2"/>
    <mergeCell ref="L1:L2"/>
  </mergeCells>
  <conditionalFormatting sqref="G120:G121 G131 G149">
    <cfRule type="expression" dxfId="0" priority="1">
      <formula>"F56"</formula>
    </cfRule>
  </conditionalFormatting>
  <dataValidations count="1">
    <dataValidation type="list" allowBlank="1" showErrorMessage="1" sqref="C3:C200">
      <formula1>"Grocery,Snacks,Health,Others,Home,Dress,Food,Transport,Fuel,Tickets"</formula1>
    </dataValidation>
  </dataValidation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49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146" t="s">
        <v>194</v>
      </c>
      <c r="N2" s="146" t="s">
        <v>207</v>
      </c>
    </row>
    <row r="3" customHeight="1" spans="1:14">
      <c r="A3" s="6" t="s">
        <v>840</v>
      </c>
      <c r="B3" s="7" t="s">
        <v>6</v>
      </c>
      <c r="C3" s="8"/>
      <c r="D3" s="9">
        <v>1301.31</v>
      </c>
      <c r="E3" s="10"/>
      <c r="F3" s="79">
        <f>D3-E3</f>
        <v>1301.31</v>
      </c>
      <c r="G3" s="110"/>
      <c r="H3" s="105"/>
      <c r="I3" s="105"/>
      <c r="J3" s="105"/>
      <c r="K3" s="105"/>
      <c r="L3" s="105"/>
      <c r="M3" s="105"/>
      <c r="N3" s="105"/>
    </row>
    <row r="4" customHeight="1" spans="1:6">
      <c r="A4" s="14"/>
      <c r="B4" s="7" t="s">
        <v>74</v>
      </c>
      <c r="C4" s="8"/>
      <c r="D4" s="9">
        <v>36563</v>
      </c>
      <c r="E4" s="10"/>
      <c r="F4" s="79">
        <f t="shared" ref="F4:F213" si="0">(D4-E4)+F3</f>
        <v>37864.31</v>
      </c>
    </row>
    <row r="5" customHeight="1" spans="1:6">
      <c r="A5" s="6"/>
      <c r="B5" s="7" t="s">
        <v>500</v>
      </c>
      <c r="C5" s="8"/>
      <c r="D5" s="9">
        <v>12000</v>
      </c>
      <c r="E5" s="10"/>
      <c r="F5" s="79">
        <f t="shared" si="0"/>
        <v>49864.31</v>
      </c>
    </row>
    <row r="6" customHeight="1" spans="1:14">
      <c r="A6" s="6"/>
      <c r="B6" s="7" t="s">
        <v>230</v>
      </c>
      <c r="C6" s="8" t="s">
        <v>219</v>
      </c>
      <c r="D6" s="9"/>
      <c r="E6" s="10">
        <v>4000</v>
      </c>
      <c r="F6" s="79">
        <f t="shared" si="0"/>
        <v>45864.31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/>
      <c r="B7" s="7" t="s">
        <v>224</v>
      </c>
      <c r="C7" s="8" t="s">
        <v>224</v>
      </c>
      <c r="D7" s="9"/>
      <c r="E7" s="10">
        <f>56.43+69</f>
        <v>125.43</v>
      </c>
      <c r="F7" s="79">
        <f t="shared" si="0"/>
        <v>45738.88</v>
      </c>
      <c r="H7" s="20"/>
      <c r="I7" s="20"/>
      <c r="J7" s="20"/>
      <c r="K7" s="20"/>
      <c r="L7" s="20"/>
      <c r="M7" s="20"/>
      <c r="N7" s="20"/>
    </row>
    <row r="8" customHeight="1" spans="1:14">
      <c r="A8" s="6"/>
      <c r="B8" s="7" t="s">
        <v>841</v>
      </c>
      <c r="C8" s="8" t="s">
        <v>27</v>
      </c>
      <c r="D8" s="9"/>
      <c r="E8" s="10">
        <f>258.93-E7</f>
        <v>133.5</v>
      </c>
      <c r="F8" s="79">
        <f t="shared" si="0"/>
        <v>45605.38</v>
      </c>
      <c r="H8" s="20"/>
      <c r="I8" s="20"/>
      <c r="J8" s="20"/>
      <c r="K8" s="20"/>
      <c r="L8" s="20"/>
      <c r="M8" s="20"/>
      <c r="N8" s="20"/>
    </row>
    <row r="9" customHeight="1" spans="1:14">
      <c r="A9" s="6"/>
      <c r="B9" s="7" t="s">
        <v>842</v>
      </c>
      <c r="C9" s="8" t="s">
        <v>214</v>
      </c>
      <c r="D9" s="9"/>
      <c r="E9" s="10">
        <v>653</v>
      </c>
      <c r="F9" s="79">
        <f t="shared" si="0"/>
        <v>44952.38</v>
      </c>
      <c r="G9" s="20"/>
      <c r="H9" s="20"/>
      <c r="J9" s="20"/>
      <c r="K9" s="20"/>
      <c r="L9" s="20"/>
      <c r="M9" s="20"/>
      <c r="N9" s="20"/>
    </row>
    <row r="10" customHeight="1" spans="1:14">
      <c r="A10" s="6"/>
      <c r="B10" s="16" t="s">
        <v>843</v>
      </c>
      <c r="C10" s="17" t="s">
        <v>86</v>
      </c>
      <c r="D10" s="18"/>
      <c r="E10" s="19">
        <f>379-80</f>
        <v>299</v>
      </c>
      <c r="F10" s="79">
        <f t="shared" si="0"/>
        <v>44653.38</v>
      </c>
      <c r="G10" s="11"/>
      <c r="H10" s="20"/>
      <c r="J10" s="20"/>
      <c r="K10" s="20"/>
      <c r="L10" s="20"/>
      <c r="M10" s="20"/>
      <c r="N10" s="20"/>
    </row>
    <row r="11" customHeight="1" spans="1:14">
      <c r="A11" s="6"/>
      <c r="B11" s="7" t="s">
        <v>24</v>
      </c>
      <c r="C11" s="8" t="s">
        <v>214</v>
      </c>
      <c r="D11" s="9"/>
      <c r="E11" s="10">
        <v>15000</v>
      </c>
      <c r="F11" s="79">
        <f t="shared" si="0"/>
        <v>29653.38</v>
      </c>
      <c r="G11" s="20"/>
      <c r="H11" s="20"/>
      <c r="I11" s="20"/>
      <c r="J11" s="20"/>
      <c r="K11" s="20"/>
      <c r="L11" s="20"/>
      <c r="M11" s="20"/>
      <c r="N11" s="20"/>
    </row>
    <row r="12" customHeight="1" spans="1:6">
      <c r="A12" s="6"/>
      <c r="B12" s="7" t="s">
        <v>844</v>
      </c>
      <c r="C12" s="8" t="s">
        <v>214</v>
      </c>
      <c r="D12" s="9"/>
      <c r="E12" s="10">
        <v>2350</v>
      </c>
      <c r="F12" s="79">
        <f t="shared" si="0"/>
        <v>27303.38</v>
      </c>
    </row>
    <row r="13" customHeight="1" spans="1:6">
      <c r="A13" s="6"/>
      <c r="B13" s="7" t="s">
        <v>725</v>
      </c>
      <c r="C13" s="8" t="s">
        <v>245</v>
      </c>
      <c r="D13" s="9"/>
      <c r="E13" s="10">
        <v>1705</v>
      </c>
      <c r="F13" s="79">
        <f t="shared" si="0"/>
        <v>25598.38</v>
      </c>
    </row>
    <row r="14" customHeight="1" spans="1:14">
      <c r="A14" s="6"/>
      <c r="B14" s="7" t="s">
        <v>845</v>
      </c>
      <c r="C14" s="8" t="s">
        <v>214</v>
      </c>
      <c r="D14" s="9"/>
      <c r="E14" s="10">
        <v>124</v>
      </c>
      <c r="F14" s="79">
        <f t="shared" si="0"/>
        <v>25474.38</v>
      </c>
      <c r="G14" s="20"/>
      <c r="H14" s="20"/>
      <c r="I14" s="20"/>
      <c r="J14" s="20"/>
      <c r="K14" s="20"/>
      <c r="L14" s="20"/>
      <c r="M14" s="20"/>
      <c r="N14" s="20"/>
    </row>
    <row r="15" customHeight="1" spans="1:14">
      <c r="A15" s="6"/>
      <c r="B15" s="7" t="s">
        <v>846</v>
      </c>
      <c r="C15" s="8" t="s">
        <v>245</v>
      </c>
      <c r="D15" s="9"/>
      <c r="E15" s="10">
        <v>279</v>
      </c>
      <c r="F15" s="79">
        <f t="shared" si="0"/>
        <v>25195.38</v>
      </c>
      <c r="G15" s="20"/>
      <c r="H15" s="20"/>
      <c r="I15" s="20"/>
      <c r="J15" s="20"/>
      <c r="K15" s="20"/>
      <c r="L15" s="20"/>
      <c r="M15" s="20"/>
      <c r="N15" s="20"/>
    </row>
    <row r="16" customHeight="1" spans="1:14">
      <c r="A16" s="6"/>
      <c r="B16" s="7"/>
      <c r="C16" s="8" t="s">
        <v>27</v>
      </c>
      <c r="D16" s="9"/>
      <c r="E16" s="10">
        <f>636-E15-E14</f>
        <v>233</v>
      </c>
      <c r="F16" s="79">
        <f t="shared" si="0"/>
        <v>24962.38</v>
      </c>
      <c r="G16" s="20"/>
      <c r="H16" s="20"/>
      <c r="I16" s="20"/>
      <c r="J16" s="20"/>
      <c r="K16" s="20"/>
      <c r="L16" s="20"/>
      <c r="M16" s="20"/>
      <c r="N16" s="20"/>
    </row>
    <row r="17" customHeight="1" spans="1:14">
      <c r="A17" s="22" t="s">
        <v>847</v>
      </c>
      <c r="B17" s="23" t="s">
        <v>33</v>
      </c>
      <c r="C17" s="24" t="s">
        <v>201</v>
      </c>
      <c r="D17" s="25"/>
      <c r="E17" s="26">
        <v>200</v>
      </c>
      <c r="F17" s="85">
        <f t="shared" si="0"/>
        <v>24762.38</v>
      </c>
      <c r="G17" s="144"/>
      <c r="H17" s="100"/>
      <c r="I17" s="147"/>
      <c r="J17" s="147"/>
      <c r="K17" s="147"/>
      <c r="L17" s="147"/>
      <c r="M17" s="147"/>
      <c r="N17" s="147"/>
    </row>
    <row r="18" customHeight="1" spans="1:14">
      <c r="A18" s="36"/>
      <c r="B18" s="16" t="s">
        <v>848</v>
      </c>
      <c r="C18" s="17" t="s">
        <v>245</v>
      </c>
      <c r="D18" s="18"/>
      <c r="E18" s="19">
        <v>247</v>
      </c>
      <c r="F18" s="79">
        <f t="shared" si="0"/>
        <v>24515.38</v>
      </c>
      <c r="G18" s="20"/>
      <c r="H18" s="20"/>
      <c r="J18" s="20"/>
      <c r="K18" s="20"/>
      <c r="L18" s="20"/>
      <c r="M18" s="20"/>
      <c r="N18" s="20"/>
    </row>
    <row r="19" customHeight="1" spans="1:14">
      <c r="A19" s="6"/>
      <c r="B19" s="7" t="s">
        <v>31</v>
      </c>
      <c r="C19" s="8" t="s">
        <v>27</v>
      </c>
      <c r="D19" s="9"/>
      <c r="E19" s="10">
        <v>200</v>
      </c>
      <c r="F19" s="79">
        <f t="shared" si="0"/>
        <v>24315.38</v>
      </c>
      <c r="G19" s="20">
        <f>G20-F20</f>
        <v>167.000000000004</v>
      </c>
      <c r="H19" s="20"/>
      <c r="J19" s="20"/>
      <c r="K19" s="20"/>
      <c r="L19" s="20"/>
      <c r="M19" s="20"/>
      <c r="N19" s="20"/>
    </row>
    <row r="20" customHeight="1" spans="1:14">
      <c r="A20" s="6"/>
      <c r="B20" s="16" t="s">
        <v>849</v>
      </c>
      <c r="C20" s="17" t="s">
        <v>27</v>
      </c>
      <c r="D20" s="18"/>
      <c r="E20" s="19">
        <v>307</v>
      </c>
      <c r="F20" s="79">
        <f t="shared" si="0"/>
        <v>24008.38</v>
      </c>
      <c r="G20" s="11">
        <f>H20+I20+J20+K20+L20+M20+N20</f>
        <v>24175.38</v>
      </c>
      <c r="H20" s="20">
        <v>0</v>
      </c>
      <c r="I20">
        <f>12060.04-307</f>
        <v>11753.04</v>
      </c>
      <c r="J20" s="20">
        <v>0</v>
      </c>
      <c r="K20" s="20">
        <v>0</v>
      </c>
      <c r="L20" s="20">
        <v>11944.34</v>
      </c>
      <c r="M20" s="20">
        <v>0</v>
      </c>
      <c r="N20" s="20">
        <f>(100*4)+60+15+3</f>
        <v>478</v>
      </c>
    </row>
    <row r="21" customHeight="1" spans="1:14">
      <c r="A21" s="22" t="s">
        <v>850</v>
      </c>
      <c r="B21" s="23"/>
      <c r="C21" s="24" t="s">
        <v>27</v>
      </c>
      <c r="D21" s="25"/>
      <c r="E21" s="26">
        <v>1079</v>
      </c>
      <c r="F21" s="85">
        <f t="shared" si="0"/>
        <v>22929.38</v>
      </c>
      <c r="G21" s="28"/>
      <c r="H21" s="28"/>
      <c r="I21" s="28"/>
      <c r="J21" s="28"/>
      <c r="K21" s="28"/>
      <c r="L21" s="28"/>
      <c r="M21" s="28"/>
      <c r="N21" s="28"/>
    </row>
    <row r="22" customHeight="1" spans="1:14">
      <c r="A22" s="6"/>
      <c r="B22" s="7" t="s">
        <v>851</v>
      </c>
      <c r="C22" s="8" t="s">
        <v>214</v>
      </c>
      <c r="D22" s="9"/>
      <c r="E22" s="10">
        <v>195</v>
      </c>
      <c r="F22" s="79">
        <f t="shared" si="0"/>
        <v>22734.38</v>
      </c>
      <c r="G22" s="11"/>
      <c r="H22" s="20"/>
      <c r="J22" s="20"/>
      <c r="K22" s="20"/>
      <c r="L22" s="20"/>
      <c r="M22" s="20"/>
      <c r="N22" s="20"/>
    </row>
    <row r="23" customHeight="1" spans="1:14">
      <c r="A23" s="6" t="s">
        <v>852</v>
      </c>
      <c r="B23" s="7" t="s">
        <v>129</v>
      </c>
      <c r="C23" s="8" t="s">
        <v>210</v>
      </c>
      <c r="D23" s="9"/>
      <c r="E23" s="10">
        <v>320</v>
      </c>
      <c r="F23" s="79">
        <f t="shared" si="0"/>
        <v>22414.38</v>
      </c>
      <c r="G23" s="11"/>
      <c r="H23" s="20"/>
      <c r="J23" s="20"/>
      <c r="K23" s="20"/>
      <c r="L23" s="20"/>
      <c r="M23" s="20"/>
      <c r="N23" s="20"/>
    </row>
    <row r="24" customHeight="1" spans="1:14">
      <c r="A24" s="6"/>
      <c r="B24" s="7" t="s">
        <v>853</v>
      </c>
      <c r="C24" s="8" t="s">
        <v>245</v>
      </c>
      <c r="D24" s="9"/>
      <c r="E24" s="10">
        <v>300</v>
      </c>
      <c r="F24" s="79">
        <f t="shared" si="0"/>
        <v>22114.38</v>
      </c>
      <c r="G24" s="20"/>
      <c r="H24" s="15"/>
      <c r="I24" s="13"/>
      <c r="J24" s="15"/>
      <c r="K24" s="15"/>
      <c r="L24" s="20"/>
      <c r="M24" s="15"/>
      <c r="N24" s="15"/>
    </row>
    <row r="25" customHeight="1" spans="1:14">
      <c r="A25" s="6"/>
      <c r="B25" s="7" t="s">
        <v>854</v>
      </c>
      <c r="C25" s="8" t="s">
        <v>245</v>
      </c>
      <c r="D25" s="9"/>
      <c r="E25" s="10">
        <v>1005</v>
      </c>
      <c r="F25" s="79">
        <f t="shared" si="0"/>
        <v>21109.38</v>
      </c>
      <c r="G25" s="15"/>
      <c r="H25" s="15"/>
      <c r="I25" s="15"/>
      <c r="J25" s="15"/>
      <c r="K25" s="15"/>
      <c r="L25" s="15"/>
      <c r="M25" s="15"/>
      <c r="N25" s="15"/>
    </row>
    <row r="26" customHeight="1" spans="1:14">
      <c r="A26" s="6"/>
      <c r="B26" s="7"/>
      <c r="C26" s="8" t="s">
        <v>27</v>
      </c>
      <c r="D26" s="9"/>
      <c r="E26" s="10">
        <v>197</v>
      </c>
      <c r="F26" s="79">
        <f t="shared" si="0"/>
        <v>20912.38</v>
      </c>
      <c r="G26" s="15"/>
      <c r="H26" s="15"/>
      <c r="I26" s="15"/>
      <c r="J26" s="15"/>
      <c r="K26" s="15"/>
      <c r="L26" s="15"/>
      <c r="M26" s="15"/>
      <c r="N26" s="15"/>
    </row>
    <row r="27" customHeight="1" spans="1:14">
      <c r="A27" s="6"/>
      <c r="B27" s="7" t="s">
        <v>129</v>
      </c>
      <c r="C27" s="8" t="s">
        <v>210</v>
      </c>
      <c r="D27" s="9"/>
      <c r="E27" s="10">
        <v>260</v>
      </c>
      <c r="F27" s="79">
        <f t="shared" si="0"/>
        <v>20652.38</v>
      </c>
      <c r="G27" s="15"/>
      <c r="H27" s="15"/>
      <c r="I27" s="15"/>
      <c r="J27" s="15"/>
      <c r="K27" s="15"/>
      <c r="L27" s="15"/>
      <c r="M27" s="15"/>
      <c r="N27" s="15"/>
    </row>
    <row r="28" customHeight="1" spans="1:14">
      <c r="A28" s="6"/>
      <c r="B28" s="16" t="s">
        <v>855</v>
      </c>
      <c r="C28" s="17" t="s">
        <v>27</v>
      </c>
      <c r="D28" s="18"/>
      <c r="E28" s="19">
        <v>373</v>
      </c>
      <c r="F28" s="79">
        <f t="shared" si="0"/>
        <v>20279.38</v>
      </c>
      <c r="G28" s="15"/>
      <c r="H28" s="15"/>
      <c r="I28" s="15"/>
      <c r="J28" s="15"/>
      <c r="K28" s="15"/>
      <c r="L28" s="15"/>
      <c r="M28" s="15"/>
      <c r="N28" s="15"/>
    </row>
    <row r="29" customHeight="1" spans="1:14">
      <c r="A29" s="6" t="s">
        <v>856</v>
      </c>
      <c r="B29" s="7" t="s">
        <v>129</v>
      </c>
      <c r="C29" s="8" t="s">
        <v>210</v>
      </c>
      <c r="D29" s="9"/>
      <c r="E29" s="10">
        <v>160</v>
      </c>
      <c r="F29" s="79">
        <f t="shared" si="0"/>
        <v>20119.38</v>
      </c>
      <c r="G29" s="15"/>
      <c r="H29" s="15"/>
      <c r="I29" s="15"/>
      <c r="J29" s="15"/>
      <c r="K29" s="15"/>
      <c r="L29" s="15"/>
      <c r="M29" s="15"/>
      <c r="N29" s="15"/>
    </row>
    <row r="30" customHeight="1" spans="1:6">
      <c r="A30" s="145"/>
      <c r="B30" s="7" t="s">
        <v>857</v>
      </c>
      <c r="C30" s="8" t="s">
        <v>245</v>
      </c>
      <c r="D30" s="9"/>
      <c r="E30" s="10">
        <v>700</v>
      </c>
      <c r="F30" s="79">
        <f t="shared" si="0"/>
        <v>19419.38</v>
      </c>
    </row>
    <row r="31" customHeight="1" spans="1:14">
      <c r="A31" s="6"/>
      <c r="B31" s="7" t="s">
        <v>332</v>
      </c>
      <c r="C31" s="8" t="s">
        <v>210</v>
      </c>
      <c r="D31" s="9"/>
      <c r="E31" s="10">
        <v>160</v>
      </c>
      <c r="F31" s="79">
        <f t="shared" si="0"/>
        <v>19259.38</v>
      </c>
      <c r="G31" s="20"/>
      <c r="H31" s="20"/>
      <c r="I31" s="20"/>
      <c r="J31" s="20"/>
      <c r="K31" s="20"/>
      <c r="L31" s="20"/>
      <c r="M31" s="20"/>
      <c r="N31" s="20"/>
    </row>
    <row r="32" customHeight="1" spans="1:14">
      <c r="A32" s="6"/>
      <c r="B32" s="7" t="s">
        <v>858</v>
      </c>
      <c r="C32" s="8" t="s">
        <v>224</v>
      </c>
      <c r="D32" s="9"/>
      <c r="E32" s="10">
        <v>30</v>
      </c>
      <c r="F32" s="79">
        <f t="shared" si="0"/>
        <v>19229.38</v>
      </c>
      <c r="G32" s="11"/>
      <c r="H32" s="20"/>
      <c r="J32" s="20"/>
      <c r="K32" s="20"/>
      <c r="L32" s="20"/>
      <c r="M32" s="20"/>
      <c r="N32" s="20"/>
    </row>
    <row r="33" customHeight="1" spans="1:6">
      <c r="A33" s="145"/>
      <c r="B33" s="7" t="s">
        <v>859</v>
      </c>
      <c r="C33" s="8" t="s">
        <v>245</v>
      </c>
      <c r="D33" s="9"/>
      <c r="E33" s="10">
        <v>200.4</v>
      </c>
      <c r="F33" s="79">
        <f t="shared" si="0"/>
        <v>19028.98</v>
      </c>
    </row>
    <row r="34" customHeight="1" spans="1:6">
      <c r="A34" s="145"/>
      <c r="B34" s="7" t="s">
        <v>860</v>
      </c>
      <c r="C34" s="8" t="s">
        <v>27</v>
      </c>
      <c r="D34" s="9"/>
      <c r="E34" s="10">
        <v>280</v>
      </c>
      <c r="F34" s="79">
        <f t="shared" si="0"/>
        <v>18748.98</v>
      </c>
    </row>
    <row r="35" customHeight="1" spans="1:14">
      <c r="A35" s="6"/>
      <c r="B35" s="16" t="s">
        <v>17</v>
      </c>
      <c r="C35" s="17" t="s">
        <v>86</v>
      </c>
      <c r="D35" s="18"/>
      <c r="E35" s="19">
        <v>214</v>
      </c>
      <c r="F35" s="79">
        <f t="shared" si="0"/>
        <v>18534.98</v>
      </c>
      <c r="G35" s="15"/>
      <c r="H35" s="15"/>
      <c r="J35" s="15"/>
      <c r="K35" s="15"/>
      <c r="L35" s="15"/>
      <c r="M35" s="15"/>
      <c r="N35" s="15"/>
    </row>
    <row r="36" customHeight="1" spans="1:14">
      <c r="A36" s="6"/>
      <c r="B36" s="16" t="s">
        <v>861</v>
      </c>
      <c r="C36" s="17" t="s">
        <v>224</v>
      </c>
      <c r="D36" s="18"/>
      <c r="E36" s="19">
        <v>333</v>
      </c>
      <c r="F36" s="79">
        <f t="shared" si="0"/>
        <v>18201.98</v>
      </c>
      <c r="G36" s="20"/>
      <c r="H36" s="20"/>
      <c r="J36" s="20"/>
      <c r="K36" s="20"/>
      <c r="L36" s="20"/>
      <c r="M36" s="20"/>
      <c r="N36" s="20"/>
    </row>
    <row r="37" customHeight="1" spans="1:14">
      <c r="A37" s="6" t="s">
        <v>862</v>
      </c>
      <c r="B37" s="7" t="s">
        <v>452</v>
      </c>
      <c r="C37" s="8" t="s">
        <v>224</v>
      </c>
      <c r="D37" s="9"/>
      <c r="E37" s="10">
        <v>38</v>
      </c>
      <c r="F37" s="79">
        <f t="shared" si="0"/>
        <v>18163.98</v>
      </c>
      <c r="G37" s="15"/>
      <c r="H37" s="15"/>
      <c r="I37" s="15"/>
      <c r="J37" s="15"/>
      <c r="K37" s="15"/>
      <c r="L37" s="15"/>
      <c r="M37" s="15"/>
      <c r="N37" s="15"/>
    </row>
    <row r="38" customHeight="1" spans="1:6">
      <c r="A38" s="6"/>
      <c r="B38" s="16" t="s">
        <v>863</v>
      </c>
      <c r="C38" s="17" t="s">
        <v>224</v>
      </c>
      <c r="D38" s="18"/>
      <c r="E38" s="19">
        <v>234</v>
      </c>
      <c r="F38" s="79">
        <f t="shared" si="0"/>
        <v>17929.98</v>
      </c>
    </row>
    <row r="39" customHeight="1" spans="1:6">
      <c r="A39" s="6" t="s">
        <v>864</v>
      </c>
      <c r="B39" s="16" t="s">
        <v>865</v>
      </c>
      <c r="C39" s="17" t="s">
        <v>224</v>
      </c>
      <c r="D39" s="18"/>
      <c r="E39" s="19">
        <f>499-172</f>
        <v>327</v>
      </c>
      <c r="F39" s="79">
        <f t="shared" si="0"/>
        <v>17602.98</v>
      </c>
    </row>
    <row r="40" customHeight="1" spans="1:14">
      <c r="A40" s="6"/>
      <c r="B40" s="16" t="s">
        <v>866</v>
      </c>
      <c r="C40" s="17" t="s">
        <v>214</v>
      </c>
      <c r="D40" s="18"/>
      <c r="E40" s="19">
        <v>172</v>
      </c>
      <c r="F40" s="79">
        <f t="shared" si="0"/>
        <v>17430.98</v>
      </c>
      <c r="G40" s="20"/>
      <c r="H40" s="20"/>
      <c r="J40" s="20"/>
      <c r="K40" s="20"/>
      <c r="L40" s="20"/>
      <c r="M40" s="20"/>
      <c r="N40" s="20"/>
    </row>
    <row r="41" customHeight="1" spans="1:14">
      <c r="A41" s="6"/>
      <c r="B41" s="16" t="s">
        <v>867</v>
      </c>
      <c r="C41" s="17" t="s">
        <v>27</v>
      </c>
      <c r="D41" s="18"/>
      <c r="E41" s="19">
        <v>1396.5</v>
      </c>
      <c r="F41" s="79">
        <f t="shared" si="0"/>
        <v>16034.48</v>
      </c>
      <c r="G41" s="20">
        <f>ABS(G42-F42)</f>
        <v>0</v>
      </c>
      <c r="H41" s="20"/>
      <c r="J41" s="20"/>
      <c r="K41" s="20"/>
      <c r="L41" s="20"/>
      <c r="M41" s="20"/>
      <c r="N41" s="20"/>
    </row>
    <row r="42" customHeight="1" spans="1:14">
      <c r="A42" s="6"/>
      <c r="B42" s="16" t="s">
        <v>868</v>
      </c>
      <c r="C42" s="17" t="s">
        <v>86</v>
      </c>
      <c r="D42" s="18"/>
      <c r="E42" s="19">
        <v>200</v>
      </c>
      <c r="F42" s="79">
        <f t="shared" si="0"/>
        <v>15834.48</v>
      </c>
      <c r="G42" s="11">
        <f>H42+I42+J42+K42+L42+M42+N42</f>
        <v>15834.48</v>
      </c>
      <c r="H42" s="20">
        <v>0</v>
      </c>
      <c r="I42">
        <v>8336.54</v>
      </c>
      <c r="J42" s="20">
        <v>0</v>
      </c>
      <c r="K42" s="20">
        <v>0</v>
      </c>
      <c r="L42" s="20">
        <v>7049.94</v>
      </c>
      <c r="M42" s="20">
        <v>0</v>
      </c>
      <c r="N42" s="20">
        <f>(100*4)+30+15+3</f>
        <v>448</v>
      </c>
    </row>
    <row r="43" customHeight="1" spans="1:14">
      <c r="A43" s="22" t="s">
        <v>869</v>
      </c>
      <c r="B43" s="23" t="s">
        <v>870</v>
      </c>
      <c r="C43" s="24" t="s">
        <v>245</v>
      </c>
      <c r="D43" s="25"/>
      <c r="E43" s="26">
        <v>73</v>
      </c>
      <c r="F43" s="85">
        <f t="shared" si="0"/>
        <v>15761.48</v>
      </c>
      <c r="G43" s="28"/>
      <c r="H43" s="28"/>
      <c r="I43" s="28"/>
      <c r="J43" s="28"/>
      <c r="K43" s="28"/>
      <c r="L43" s="28"/>
      <c r="M43" s="28"/>
      <c r="N43" s="28"/>
    </row>
    <row r="44" customHeight="1" spans="1:14">
      <c r="A44" s="6"/>
      <c r="B44" s="7" t="s">
        <v>129</v>
      </c>
      <c r="C44" s="8" t="s">
        <v>210</v>
      </c>
      <c r="D44" s="9"/>
      <c r="E44" s="10">
        <v>430</v>
      </c>
      <c r="F44" s="79">
        <f t="shared" si="0"/>
        <v>15331.48</v>
      </c>
      <c r="G44" s="15"/>
      <c r="H44" s="15"/>
      <c r="I44" s="15"/>
      <c r="J44" s="15"/>
      <c r="K44" s="15"/>
      <c r="L44" s="15"/>
      <c r="M44" s="15"/>
      <c r="N44" s="15"/>
    </row>
    <row r="45" customHeight="1" spans="1:6">
      <c r="A45" s="6"/>
      <c r="B45" s="7" t="s">
        <v>871</v>
      </c>
      <c r="C45" s="8" t="s">
        <v>245</v>
      </c>
      <c r="D45" s="9"/>
      <c r="E45" s="10">
        <v>2500</v>
      </c>
      <c r="F45" s="79">
        <f t="shared" si="0"/>
        <v>12831.48</v>
      </c>
    </row>
    <row r="46" customHeight="1" spans="1:6">
      <c r="A46" s="6"/>
      <c r="B46" s="7" t="s">
        <v>129</v>
      </c>
      <c r="C46" s="8" t="s">
        <v>210</v>
      </c>
      <c r="D46" s="9"/>
      <c r="E46" s="10">
        <v>410</v>
      </c>
      <c r="F46" s="79">
        <f t="shared" si="0"/>
        <v>12421.48</v>
      </c>
    </row>
    <row r="47" customHeight="1" spans="1:6">
      <c r="A47" s="6"/>
      <c r="B47" s="7" t="s">
        <v>872</v>
      </c>
      <c r="C47" s="8" t="s">
        <v>27</v>
      </c>
      <c r="D47" s="9"/>
      <c r="E47" s="10">
        <v>296</v>
      </c>
      <c r="F47" s="79">
        <f t="shared" si="0"/>
        <v>12125.48</v>
      </c>
    </row>
    <row r="48" customHeight="1" spans="1:6">
      <c r="A48" s="6"/>
      <c r="B48" s="16" t="s">
        <v>17</v>
      </c>
      <c r="C48" s="17" t="s">
        <v>86</v>
      </c>
      <c r="D48" s="18"/>
      <c r="E48" s="19">
        <v>335</v>
      </c>
      <c r="F48" s="79">
        <f t="shared" si="0"/>
        <v>11790.48</v>
      </c>
    </row>
    <row r="49" customHeight="1" spans="1:14">
      <c r="A49" s="6" t="s">
        <v>873</v>
      </c>
      <c r="B49" s="7"/>
      <c r="C49" s="8" t="s">
        <v>219</v>
      </c>
      <c r="D49" s="9"/>
      <c r="E49" s="10">
        <v>200</v>
      </c>
      <c r="F49" s="79">
        <f t="shared" si="0"/>
        <v>11590.48</v>
      </c>
      <c r="G49" s="20"/>
      <c r="H49" s="15"/>
      <c r="I49" s="13"/>
      <c r="J49" s="15"/>
      <c r="K49" s="15"/>
      <c r="L49" s="20"/>
      <c r="M49" s="15"/>
      <c r="N49" s="15"/>
    </row>
    <row r="50" customHeight="1" spans="1:14">
      <c r="A50" s="6"/>
      <c r="B50" s="7" t="s">
        <v>81</v>
      </c>
      <c r="C50" s="8" t="s">
        <v>219</v>
      </c>
      <c r="D50" s="9"/>
      <c r="E50" s="10">
        <v>1000</v>
      </c>
      <c r="F50" s="79">
        <f t="shared" si="0"/>
        <v>10590.48</v>
      </c>
      <c r="G50" s="15"/>
      <c r="H50" s="15"/>
      <c r="I50" s="15"/>
      <c r="J50" s="15"/>
      <c r="K50" s="15"/>
      <c r="L50" s="15"/>
      <c r="M50" s="15"/>
      <c r="N50" s="15"/>
    </row>
    <row r="51" customHeight="1" spans="1:14">
      <c r="A51" s="6"/>
      <c r="B51" s="7" t="s">
        <v>17</v>
      </c>
      <c r="C51" s="8" t="s">
        <v>86</v>
      </c>
      <c r="D51" s="9"/>
      <c r="E51" s="10">
        <v>135.45</v>
      </c>
      <c r="F51" s="79">
        <f t="shared" si="0"/>
        <v>10455.03</v>
      </c>
      <c r="G51" s="20">
        <f>ABS(G52-F52)</f>
        <v>0</v>
      </c>
      <c r="H51" s="20"/>
      <c r="J51" s="20"/>
      <c r="K51" s="20"/>
      <c r="L51" s="20"/>
      <c r="M51" s="20"/>
      <c r="N51" s="20"/>
    </row>
    <row r="52" customHeight="1" spans="1:14">
      <c r="A52" s="6"/>
      <c r="B52" s="16" t="s">
        <v>17</v>
      </c>
      <c r="C52" s="17" t="s">
        <v>86</v>
      </c>
      <c r="D52" s="18"/>
      <c r="E52" s="19">
        <v>203</v>
      </c>
      <c r="F52" s="79">
        <f t="shared" si="0"/>
        <v>10252.03</v>
      </c>
      <c r="G52" s="11">
        <f>H52+I52+J52+K52+L52+M52+N52</f>
        <v>10252.03</v>
      </c>
      <c r="H52" s="20">
        <v>0</v>
      </c>
      <c r="I52">
        <v>4798.54</v>
      </c>
      <c r="J52" s="20">
        <v>0</v>
      </c>
      <c r="K52" s="20">
        <v>0</v>
      </c>
      <c r="L52" s="20">
        <v>4705.49</v>
      </c>
      <c r="M52" s="20">
        <v>0</v>
      </c>
      <c r="N52" s="20">
        <f>700+30+10+5+3</f>
        <v>748</v>
      </c>
    </row>
    <row r="53" customHeight="1" spans="1:14">
      <c r="A53" s="73"/>
      <c r="B53" s="7" t="s">
        <v>874</v>
      </c>
      <c r="C53" s="8"/>
      <c r="D53" s="9">
        <v>2</v>
      </c>
      <c r="E53" s="10"/>
      <c r="F53" s="79">
        <f t="shared" si="0"/>
        <v>10254.03</v>
      </c>
      <c r="G53" s="20"/>
      <c r="H53" s="20"/>
      <c r="I53" s="20"/>
      <c r="J53" s="20"/>
      <c r="K53" s="20"/>
      <c r="L53" s="20"/>
      <c r="M53" s="20"/>
      <c r="N53" s="20"/>
    </row>
    <row r="54" customHeight="1" spans="1:6">
      <c r="A54" s="73"/>
      <c r="B54" s="7" t="s">
        <v>875</v>
      </c>
      <c r="C54" s="8" t="s">
        <v>214</v>
      </c>
      <c r="D54" s="9"/>
      <c r="E54" s="10">
        <v>620</v>
      </c>
      <c r="F54" s="79">
        <f t="shared" si="0"/>
        <v>9634.03</v>
      </c>
    </row>
    <row r="55" customHeight="1" spans="1:6">
      <c r="A55" s="73"/>
      <c r="B55" s="7"/>
      <c r="C55" s="8" t="s">
        <v>27</v>
      </c>
      <c r="D55" s="9"/>
      <c r="E55" s="10">
        <f>694-620</f>
        <v>74</v>
      </c>
      <c r="F55" s="79">
        <f t="shared" si="0"/>
        <v>9560.03</v>
      </c>
    </row>
    <row r="56" customHeight="1" spans="1:6">
      <c r="A56" s="73" t="s">
        <v>876</v>
      </c>
      <c r="B56" s="16" t="s">
        <v>877</v>
      </c>
      <c r="C56" s="17" t="s">
        <v>54</v>
      </c>
      <c r="D56" s="18"/>
      <c r="E56" s="19">
        <v>579</v>
      </c>
      <c r="F56" s="79">
        <f t="shared" si="0"/>
        <v>8981.03</v>
      </c>
    </row>
    <row r="57" customHeight="1" spans="1:14">
      <c r="A57" s="73"/>
      <c r="B57" s="74" t="s">
        <v>129</v>
      </c>
      <c r="C57" s="75" t="s">
        <v>210</v>
      </c>
      <c r="D57" s="76"/>
      <c r="E57" s="78">
        <v>165</v>
      </c>
      <c r="F57" s="79">
        <f t="shared" si="0"/>
        <v>8816.03</v>
      </c>
      <c r="G57" s="20"/>
      <c r="H57" s="20"/>
      <c r="I57" s="20"/>
      <c r="J57" s="20"/>
      <c r="K57" s="20"/>
      <c r="L57" s="20"/>
      <c r="M57" s="20"/>
      <c r="N57" s="20"/>
    </row>
    <row r="58" customHeight="1" spans="1:14">
      <c r="A58" s="6"/>
      <c r="B58" s="7" t="s">
        <v>224</v>
      </c>
      <c r="C58" s="8" t="s">
        <v>224</v>
      </c>
      <c r="D58" s="9"/>
      <c r="E58" s="10">
        <f>125-45</f>
        <v>80</v>
      </c>
      <c r="F58" s="79">
        <f t="shared" si="0"/>
        <v>8736.03</v>
      </c>
      <c r="G58" s="20">
        <f>ABS(G59-F59)</f>
        <v>0</v>
      </c>
      <c r="H58" s="20"/>
      <c r="J58" s="20"/>
      <c r="K58" s="20"/>
      <c r="L58" s="20"/>
      <c r="M58" s="20"/>
      <c r="N58" s="20"/>
    </row>
    <row r="59" customHeight="1" spans="1:14">
      <c r="A59" s="6"/>
      <c r="B59" s="7" t="s">
        <v>129</v>
      </c>
      <c r="C59" s="8" t="s">
        <v>210</v>
      </c>
      <c r="D59" s="9"/>
      <c r="E59" s="10">
        <v>185</v>
      </c>
      <c r="F59" s="79">
        <f t="shared" si="0"/>
        <v>8551.03</v>
      </c>
      <c r="G59" s="11">
        <f>H59+I59+J59+K59+L59+M59+N59</f>
        <v>8551.03</v>
      </c>
      <c r="H59" s="20">
        <v>0</v>
      </c>
      <c r="I59">
        <v>4219.54</v>
      </c>
      <c r="J59" s="20">
        <v>0</v>
      </c>
      <c r="K59" s="20">
        <v>0</v>
      </c>
      <c r="L59" s="20">
        <v>3583.49</v>
      </c>
      <c r="M59" s="20">
        <v>0</v>
      </c>
      <c r="N59" s="20">
        <f>700+30+10+5+3</f>
        <v>748</v>
      </c>
    </row>
    <row r="60" customHeight="1" spans="1:14">
      <c r="A60" s="22" t="s">
        <v>876</v>
      </c>
      <c r="B60" s="23" t="s">
        <v>349</v>
      </c>
      <c r="C60" s="24"/>
      <c r="D60" s="25">
        <v>6</v>
      </c>
      <c r="E60" s="26"/>
      <c r="F60" s="85">
        <f t="shared" si="0"/>
        <v>8557.03</v>
      </c>
      <c r="G60" s="27"/>
      <c r="H60" s="38"/>
      <c r="I60" s="38"/>
      <c r="J60" s="38"/>
      <c r="K60" s="38"/>
      <c r="L60" s="38"/>
      <c r="M60" s="38"/>
      <c r="N60" s="38"/>
    </row>
    <row r="61" customHeight="1" spans="1:6">
      <c r="A61" s="6" t="s">
        <v>878</v>
      </c>
      <c r="B61" s="16" t="s">
        <v>879</v>
      </c>
      <c r="C61" s="17" t="s">
        <v>27</v>
      </c>
      <c r="D61" s="18"/>
      <c r="E61" s="19">
        <v>601</v>
      </c>
      <c r="F61" s="79">
        <f t="shared" si="0"/>
        <v>7956.03</v>
      </c>
    </row>
    <row r="62" customHeight="1" spans="1:6">
      <c r="A62" s="6"/>
      <c r="B62" s="16" t="s">
        <v>421</v>
      </c>
      <c r="C62" s="17" t="s">
        <v>27</v>
      </c>
      <c r="D62" s="18"/>
      <c r="E62" s="19">
        <v>767</v>
      </c>
      <c r="F62" s="79">
        <f t="shared" si="0"/>
        <v>7189.03</v>
      </c>
    </row>
    <row r="63" customHeight="1" spans="1:14">
      <c r="A63" s="6"/>
      <c r="B63" s="16" t="s">
        <v>880</v>
      </c>
      <c r="C63" s="17" t="s">
        <v>219</v>
      </c>
      <c r="D63" s="18"/>
      <c r="E63" s="19">
        <v>251</v>
      </c>
      <c r="F63" s="79">
        <f t="shared" si="0"/>
        <v>6938.03</v>
      </c>
      <c r="G63" s="11"/>
      <c r="H63" s="20"/>
      <c r="J63" s="20"/>
      <c r="K63" s="20"/>
      <c r="L63" s="20"/>
      <c r="M63" s="20"/>
      <c r="N63" s="20"/>
    </row>
    <row r="64" customHeight="1" spans="1:14">
      <c r="A64" s="6" t="s">
        <v>881</v>
      </c>
      <c r="B64" s="7" t="s">
        <v>129</v>
      </c>
      <c r="C64" s="8" t="s">
        <v>210</v>
      </c>
      <c r="D64" s="9"/>
      <c r="E64" s="10">
        <v>170</v>
      </c>
      <c r="F64" s="79">
        <f t="shared" si="0"/>
        <v>6768.03</v>
      </c>
      <c r="G64" s="12"/>
      <c r="H64" s="13"/>
      <c r="I64" s="13"/>
      <c r="J64" s="13"/>
      <c r="K64" s="13"/>
      <c r="L64" s="13"/>
      <c r="M64" s="13"/>
      <c r="N64" s="13"/>
    </row>
    <row r="65" customHeight="1" spans="1:14">
      <c r="A65" s="6"/>
      <c r="B65" s="7" t="s">
        <v>857</v>
      </c>
      <c r="C65" s="8" t="s">
        <v>245</v>
      </c>
      <c r="D65" s="9"/>
      <c r="E65" s="10">
        <v>700</v>
      </c>
      <c r="F65" s="79">
        <f t="shared" si="0"/>
        <v>6068.03</v>
      </c>
      <c r="G65" s="12"/>
      <c r="H65" s="13"/>
      <c r="I65" s="13"/>
      <c r="J65" s="13"/>
      <c r="K65" s="13"/>
      <c r="L65" s="13"/>
      <c r="M65" s="13"/>
      <c r="N65" s="13"/>
    </row>
    <row r="66" customHeight="1" spans="1:14">
      <c r="A66" s="6"/>
      <c r="B66" s="7" t="s">
        <v>129</v>
      </c>
      <c r="C66" s="8" t="s">
        <v>210</v>
      </c>
      <c r="D66" s="9"/>
      <c r="E66" s="10">
        <v>150</v>
      </c>
      <c r="F66" s="79">
        <f t="shared" si="0"/>
        <v>5918.03</v>
      </c>
      <c r="G66" s="12"/>
      <c r="H66" s="13"/>
      <c r="I66" s="13"/>
      <c r="J66" s="13"/>
      <c r="K66" s="13"/>
      <c r="L66" s="13"/>
      <c r="M66" s="13"/>
      <c r="N66" s="13"/>
    </row>
    <row r="67" customHeight="1" spans="1:14">
      <c r="A67" s="6"/>
      <c r="B67" s="7" t="s">
        <v>452</v>
      </c>
      <c r="C67" s="8" t="s">
        <v>224</v>
      </c>
      <c r="D67" s="9"/>
      <c r="E67" s="10">
        <v>22.5</v>
      </c>
      <c r="F67" s="79">
        <f t="shared" si="0"/>
        <v>5895.53</v>
      </c>
      <c r="G67" s="20">
        <f>ABS(G68-F68)</f>
        <v>4.54747350886464e-12</v>
      </c>
      <c r="H67" s="20"/>
      <c r="J67" s="20"/>
      <c r="K67" s="20"/>
      <c r="L67" s="20"/>
      <c r="M67" s="20"/>
      <c r="N67" s="20"/>
    </row>
    <row r="68" customHeight="1" spans="1:14">
      <c r="A68" s="6"/>
      <c r="B68" s="134" t="s">
        <v>650</v>
      </c>
      <c r="C68" s="8" t="s">
        <v>86</v>
      </c>
      <c r="D68" s="9"/>
      <c r="E68" s="10">
        <v>40</v>
      </c>
      <c r="F68" s="79">
        <f t="shared" si="0"/>
        <v>5855.53</v>
      </c>
      <c r="G68" s="11">
        <f>H68+I68+J68+K68+L68+M68+N68</f>
        <v>5855.53</v>
      </c>
      <c r="H68" s="20">
        <v>0</v>
      </c>
      <c r="I68">
        <v>2600.54</v>
      </c>
      <c r="J68" s="20">
        <v>0</v>
      </c>
      <c r="K68" s="20">
        <v>0</v>
      </c>
      <c r="L68" s="20">
        <f>2569.49-62.5</f>
        <v>2506.99</v>
      </c>
      <c r="M68" s="20">
        <v>0</v>
      </c>
      <c r="N68" s="20">
        <f>700+30+10+5+3</f>
        <v>748</v>
      </c>
    </row>
    <row r="69" customHeight="1" spans="1:14">
      <c r="A69" s="6"/>
      <c r="B69" s="109" t="s">
        <v>882</v>
      </c>
      <c r="C69" s="17" t="s">
        <v>214</v>
      </c>
      <c r="D69" s="18"/>
      <c r="E69" s="19">
        <v>381.9</v>
      </c>
      <c r="F69" s="79">
        <f t="shared" si="0"/>
        <v>5473.63</v>
      </c>
      <c r="G69" s="11"/>
      <c r="H69" s="20"/>
      <c r="J69" s="20"/>
      <c r="K69" s="20"/>
      <c r="L69" s="20"/>
      <c r="M69" s="20"/>
      <c r="N69" s="20"/>
    </row>
    <row r="70" customHeight="1" spans="1:14">
      <c r="A70" s="6"/>
      <c r="B70" s="109" t="s">
        <v>874</v>
      </c>
      <c r="C70" s="17"/>
      <c r="D70" s="18">
        <v>2</v>
      </c>
      <c r="E70" s="19"/>
      <c r="F70" s="79">
        <f t="shared" si="0"/>
        <v>5475.63</v>
      </c>
      <c r="G70" s="11"/>
      <c r="H70" s="20"/>
      <c r="J70" s="20"/>
      <c r="K70" s="20"/>
      <c r="L70" s="20"/>
      <c r="M70" s="20"/>
      <c r="N70" s="20"/>
    </row>
    <row r="71" customHeight="1" spans="1:14">
      <c r="A71" s="22" t="s">
        <v>883</v>
      </c>
      <c r="B71" s="23" t="s">
        <v>808</v>
      </c>
      <c r="C71" s="24" t="s">
        <v>214</v>
      </c>
      <c r="D71" s="25"/>
      <c r="E71" s="26">
        <v>380</v>
      </c>
      <c r="F71" s="85">
        <f t="shared" si="0"/>
        <v>5095.63</v>
      </c>
      <c r="G71" s="148"/>
      <c r="H71" s="147"/>
      <c r="I71" s="147"/>
      <c r="J71" s="147"/>
      <c r="K71" s="147"/>
      <c r="L71" s="147"/>
      <c r="M71" s="147"/>
      <c r="N71" s="147"/>
    </row>
    <row r="72" customHeight="1" spans="1:14">
      <c r="A72" s="6"/>
      <c r="B72" s="7" t="s">
        <v>884</v>
      </c>
      <c r="C72" s="8" t="s">
        <v>224</v>
      </c>
      <c r="D72" s="9"/>
      <c r="E72" s="10">
        <v>22.5</v>
      </c>
      <c r="F72" s="79">
        <f t="shared" si="0"/>
        <v>5073.13</v>
      </c>
      <c r="G72" s="20"/>
      <c r="H72" s="20"/>
      <c r="J72" s="20"/>
      <c r="K72" s="20"/>
      <c r="L72" s="20"/>
      <c r="M72" s="20"/>
      <c r="N72" s="20"/>
    </row>
    <row r="73" customHeight="1" spans="1:14">
      <c r="A73" s="6"/>
      <c r="B73" s="7" t="s">
        <v>885</v>
      </c>
      <c r="C73" s="8" t="s">
        <v>214</v>
      </c>
      <c r="D73" s="9"/>
      <c r="E73" s="10">
        <v>20</v>
      </c>
      <c r="F73" s="79">
        <f t="shared" si="0"/>
        <v>5053.13</v>
      </c>
      <c r="G73" s="11"/>
      <c r="H73" s="20"/>
      <c r="J73" s="20"/>
      <c r="K73" s="20"/>
      <c r="L73" s="20"/>
      <c r="M73" s="20"/>
      <c r="N73" s="20"/>
    </row>
    <row r="74" customHeight="1" spans="1:14">
      <c r="A74" s="6"/>
      <c r="B74" s="16" t="s">
        <v>886</v>
      </c>
      <c r="C74" s="17" t="s">
        <v>214</v>
      </c>
      <c r="D74" s="18"/>
      <c r="E74" s="19">
        <v>75</v>
      </c>
      <c r="F74" s="79">
        <f t="shared" si="0"/>
        <v>4978.13</v>
      </c>
      <c r="G74" s="12"/>
      <c r="H74" s="13"/>
      <c r="I74" s="13"/>
      <c r="J74" s="13"/>
      <c r="K74" s="13"/>
      <c r="L74" s="13"/>
      <c r="M74" s="13"/>
      <c r="N74" s="13"/>
    </row>
    <row r="75" customHeight="1" spans="1:14">
      <c r="A75" s="6" t="s">
        <v>887</v>
      </c>
      <c r="B75" s="7" t="s">
        <v>888</v>
      </c>
      <c r="C75" s="8" t="s">
        <v>201</v>
      </c>
      <c r="D75" s="9"/>
      <c r="E75" s="10">
        <v>210</v>
      </c>
      <c r="F75" s="79">
        <f t="shared" si="0"/>
        <v>4768.13</v>
      </c>
      <c r="G75" s="12"/>
      <c r="H75" s="13"/>
      <c r="I75" s="13"/>
      <c r="J75" s="13"/>
      <c r="K75" s="13"/>
      <c r="L75" s="13"/>
      <c r="M75" s="13"/>
      <c r="N75" s="13"/>
    </row>
    <row r="76" customHeight="1" spans="1:14">
      <c r="A76" s="6"/>
      <c r="B76" s="7" t="s">
        <v>889</v>
      </c>
      <c r="C76" s="8" t="s">
        <v>86</v>
      </c>
      <c r="D76" s="9"/>
      <c r="E76" s="10">
        <v>40</v>
      </c>
      <c r="F76" s="79">
        <f t="shared" si="0"/>
        <v>4728.13</v>
      </c>
      <c r="G76" s="12"/>
      <c r="H76" s="13"/>
      <c r="I76" s="13"/>
      <c r="J76" s="13"/>
      <c r="K76" s="13"/>
      <c r="L76" s="13"/>
      <c r="M76" s="13"/>
      <c r="N76" s="13"/>
    </row>
    <row r="77" customHeight="1" spans="1:14">
      <c r="A77" s="6"/>
      <c r="B77" s="7" t="s">
        <v>890</v>
      </c>
      <c r="C77" s="8" t="s">
        <v>86</v>
      </c>
      <c r="D77" s="9"/>
      <c r="E77" s="10">
        <v>210</v>
      </c>
      <c r="F77" s="79">
        <f t="shared" si="0"/>
        <v>4518.13</v>
      </c>
      <c r="G77" s="21"/>
      <c r="H77" s="12"/>
      <c r="I77" s="64"/>
      <c r="J77" s="12"/>
      <c r="K77" s="12"/>
      <c r="L77" s="12"/>
      <c r="M77" s="12"/>
      <c r="N77" s="12"/>
    </row>
    <row r="78" customHeight="1" spans="1:14">
      <c r="A78" s="6"/>
      <c r="B78" s="16" t="s">
        <v>891</v>
      </c>
      <c r="C78" s="17" t="s">
        <v>27</v>
      </c>
      <c r="D78" s="18"/>
      <c r="E78" s="19">
        <v>249</v>
      </c>
      <c r="F78" s="79">
        <f t="shared" si="0"/>
        <v>4269.13</v>
      </c>
      <c r="G78" s="15"/>
      <c r="H78" s="20"/>
      <c r="I78" s="20"/>
      <c r="J78" s="20"/>
      <c r="K78" s="20"/>
      <c r="L78" s="15"/>
      <c r="M78" s="20"/>
      <c r="N78" s="15"/>
    </row>
    <row r="79" customHeight="1" spans="1:14">
      <c r="A79" s="6"/>
      <c r="B79" s="16" t="s">
        <v>434</v>
      </c>
      <c r="C79" s="17" t="s">
        <v>86</v>
      </c>
      <c r="D79" s="18"/>
      <c r="E79" s="19">
        <v>219</v>
      </c>
      <c r="F79" s="79">
        <f t="shared" si="0"/>
        <v>4050.13</v>
      </c>
      <c r="G79" s="20"/>
      <c r="H79" s="20"/>
      <c r="I79" s="20"/>
      <c r="J79" s="20"/>
      <c r="K79" s="20"/>
      <c r="L79" s="20"/>
      <c r="M79" s="20"/>
      <c r="N79" s="20"/>
    </row>
    <row r="80" customHeight="1" spans="1:14">
      <c r="A80" s="36"/>
      <c r="B80" s="16" t="s">
        <v>892</v>
      </c>
      <c r="C80" s="17"/>
      <c r="D80" s="18">
        <v>5</v>
      </c>
      <c r="E80" s="19"/>
      <c r="F80" s="79">
        <f t="shared" si="0"/>
        <v>4055.13</v>
      </c>
      <c r="G80" s="11"/>
      <c r="H80" s="20"/>
      <c r="I80" s="64"/>
      <c r="J80" s="20"/>
      <c r="K80" s="20"/>
      <c r="L80" s="20"/>
      <c r="M80" s="20"/>
      <c r="N80" s="20"/>
    </row>
    <row r="81" customHeight="1" spans="1:14">
      <c r="A81" s="6"/>
      <c r="B81" s="7" t="s">
        <v>893</v>
      </c>
      <c r="C81" s="8" t="s">
        <v>224</v>
      </c>
      <c r="D81" s="9"/>
      <c r="E81" s="10">
        <v>10</v>
      </c>
      <c r="F81" s="79">
        <f t="shared" si="0"/>
        <v>4045.13</v>
      </c>
      <c r="H81" s="20"/>
      <c r="J81" s="20"/>
      <c r="K81" s="20"/>
      <c r="L81" s="20"/>
      <c r="M81" s="20"/>
      <c r="N81" s="20"/>
    </row>
    <row r="82" customHeight="1" spans="1:14">
      <c r="A82" s="6" t="s">
        <v>894</v>
      </c>
      <c r="B82" s="7" t="s">
        <v>332</v>
      </c>
      <c r="C82" s="8" t="s">
        <v>210</v>
      </c>
      <c r="D82" s="9"/>
      <c r="E82" s="10">
        <f>375+410</f>
        <v>785</v>
      </c>
      <c r="F82" s="79">
        <f t="shared" si="0"/>
        <v>3260.13</v>
      </c>
      <c r="H82" s="20"/>
      <c r="J82" s="20"/>
      <c r="K82" s="20"/>
      <c r="L82" s="20"/>
      <c r="M82" s="20"/>
      <c r="N82" s="20"/>
    </row>
    <row r="83" customHeight="1" spans="1:14">
      <c r="A83" s="6"/>
      <c r="B83" s="16" t="s">
        <v>895</v>
      </c>
      <c r="C83" s="17" t="s">
        <v>27</v>
      </c>
      <c r="D83" s="18"/>
      <c r="E83" s="19">
        <v>131</v>
      </c>
      <c r="F83" s="79">
        <f t="shared" si="0"/>
        <v>3129.13</v>
      </c>
      <c r="G83" s="20">
        <f>ABS(G84-F84)</f>
        <v>4.54747350886464e-12</v>
      </c>
      <c r="H83" s="20"/>
      <c r="J83" s="20"/>
      <c r="K83" s="20"/>
      <c r="L83" s="20"/>
      <c r="M83" s="20"/>
      <c r="N83" s="20"/>
    </row>
    <row r="84" customHeight="1" spans="1:14">
      <c r="A84" s="6"/>
      <c r="B84" s="16" t="s">
        <v>34</v>
      </c>
      <c r="C84" s="17" t="s">
        <v>224</v>
      </c>
      <c r="D84" s="18"/>
      <c r="E84" s="19">
        <f>284-131</f>
        <v>153</v>
      </c>
      <c r="F84" s="79">
        <f t="shared" si="0"/>
        <v>2976.13</v>
      </c>
      <c r="G84" s="11">
        <f>H84+I84+J84+K84+L84+M84+N84</f>
        <v>2976.13</v>
      </c>
      <c r="H84" s="20">
        <v>0</v>
      </c>
      <c r="I84">
        <f>1681.64-284</f>
        <v>1397.64</v>
      </c>
      <c r="J84" s="20">
        <v>0</v>
      </c>
      <c r="K84" s="20">
        <v>0</v>
      </c>
      <c r="L84" s="20">
        <f>1655.49-785</f>
        <v>870.49</v>
      </c>
      <c r="M84" s="20">
        <v>0</v>
      </c>
      <c r="N84" s="20">
        <f>700+5+3</f>
        <v>708</v>
      </c>
    </row>
    <row r="85" customHeight="1" spans="1:14">
      <c r="A85" s="22" t="s">
        <v>896</v>
      </c>
      <c r="B85" s="23" t="s">
        <v>897</v>
      </c>
      <c r="C85" s="24" t="s">
        <v>27</v>
      </c>
      <c r="D85" s="25"/>
      <c r="E85" s="26">
        <v>284</v>
      </c>
      <c r="F85" s="85">
        <f t="shared" si="0"/>
        <v>2692.13</v>
      </c>
      <c r="G85" s="28"/>
      <c r="H85" s="28"/>
      <c r="I85" s="28"/>
      <c r="J85" s="28"/>
      <c r="K85" s="28"/>
      <c r="L85" s="28"/>
      <c r="M85" s="28"/>
      <c r="N85" s="28"/>
    </row>
    <row r="86" customHeight="1" spans="1:14">
      <c r="A86" s="6"/>
      <c r="B86" s="7" t="s">
        <v>898</v>
      </c>
      <c r="C86" s="8" t="s">
        <v>210</v>
      </c>
      <c r="D86" s="9"/>
      <c r="E86" s="10">
        <v>100</v>
      </c>
      <c r="F86" s="79">
        <f t="shared" si="0"/>
        <v>2592.13</v>
      </c>
      <c r="G86" s="11"/>
      <c r="H86" s="20"/>
      <c r="I86" s="64"/>
      <c r="J86" s="20"/>
      <c r="K86" s="20"/>
      <c r="L86" s="20"/>
      <c r="M86" s="20"/>
      <c r="N86" s="20"/>
    </row>
    <row r="87" customHeight="1" spans="1:14">
      <c r="A87" s="6"/>
      <c r="B87" s="7"/>
      <c r="C87" s="8" t="s">
        <v>219</v>
      </c>
      <c r="D87" s="9"/>
      <c r="E87" s="10">
        <v>200</v>
      </c>
      <c r="F87" s="79">
        <f t="shared" si="0"/>
        <v>2392.13</v>
      </c>
      <c r="G87" s="15"/>
      <c r="H87" s="15"/>
      <c r="I87" s="15"/>
      <c r="J87" s="15"/>
      <c r="K87" s="15"/>
      <c r="L87" s="15"/>
      <c r="M87" s="15"/>
      <c r="N87" s="15"/>
    </row>
    <row r="88" customHeight="1" spans="1:6">
      <c r="A88" s="6" t="s">
        <v>899</v>
      </c>
      <c r="B88" s="16" t="s">
        <v>900</v>
      </c>
      <c r="C88" s="17" t="s">
        <v>27</v>
      </c>
      <c r="D88" s="18"/>
      <c r="E88" s="19">
        <v>295</v>
      </c>
      <c r="F88" s="79">
        <f t="shared" si="0"/>
        <v>2097.13</v>
      </c>
    </row>
    <row r="89" customHeight="1" spans="1:14">
      <c r="A89" s="6"/>
      <c r="B89" s="7" t="s">
        <v>331</v>
      </c>
      <c r="C89" s="8" t="s">
        <v>27</v>
      </c>
      <c r="D89" s="9"/>
      <c r="E89" s="10">
        <v>50</v>
      </c>
      <c r="F89" s="79">
        <f t="shared" si="0"/>
        <v>2047.13</v>
      </c>
      <c r="G89" s="20"/>
      <c r="H89" s="20"/>
      <c r="I89" s="20"/>
      <c r="J89" s="20"/>
      <c r="K89" s="20"/>
      <c r="L89" s="20"/>
      <c r="M89" s="20"/>
      <c r="N89" s="20"/>
    </row>
    <row r="90" customHeight="1" spans="1:14">
      <c r="A90" s="6" t="s">
        <v>901</v>
      </c>
      <c r="B90" s="16" t="s">
        <v>902</v>
      </c>
      <c r="C90" s="17" t="s">
        <v>27</v>
      </c>
      <c r="D90" s="18"/>
      <c r="E90" s="19">
        <v>128</v>
      </c>
      <c r="F90" s="79">
        <f t="shared" si="0"/>
        <v>1919.13</v>
      </c>
      <c r="G90" s="20"/>
      <c r="H90" s="20"/>
      <c r="I90" s="20"/>
      <c r="J90" s="20"/>
      <c r="K90" s="20"/>
      <c r="L90" s="20"/>
      <c r="M90" s="20"/>
      <c r="N90" s="20"/>
    </row>
    <row r="91" customHeight="1" spans="1:14">
      <c r="A91" s="6"/>
      <c r="B91" s="7" t="s">
        <v>903</v>
      </c>
      <c r="C91" s="8" t="s">
        <v>210</v>
      </c>
      <c r="D91" s="9"/>
      <c r="E91" s="10">
        <f>220+200</f>
        <v>420</v>
      </c>
      <c r="F91" s="79">
        <f t="shared" si="0"/>
        <v>1499.13</v>
      </c>
      <c r="G91" s="20"/>
      <c r="H91" s="20"/>
      <c r="I91" s="20"/>
      <c r="J91" s="20"/>
      <c r="K91" s="20"/>
      <c r="L91" s="20"/>
      <c r="M91" s="20"/>
      <c r="N91" s="20"/>
    </row>
    <row r="92" customHeight="1" spans="1:14">
      <c r="A92" s="6"/>
      <c r="B92" s="7" t="s">
        <v>904</v>
      </c>
      <c r="C92" s="8"/>
      <c r="D92" s="9">
        <v>1000</v>
      </c>
      <c r="E92" s="10"/>
      <c r="F92" s="79">
        <f t="shared" si="0"/>
        <v>2499.13</v>
      </c>
      <c r="G92" s="11"/>
      <c r="H92" s="20"/>
      <c r="I92" s="20"/>
      <c r="J92" s="20"/>
      <c r="K92" s="20"/>
      <c r="L92" s="20"/>
      <c r="M92" s="20"/>
      <c r="N92" s="20"/>
    </row>
    <row r="93" customHeight="1" spans="1:14">
      <c r="A93" s="6"/>
      <c r="B93" s="16" t="s">
        <v>23</v>
      </c>
      <c r="C93" s="17"/>
      <c r="D93" s="18">
        <v>2</v>
      </c>
      <c r="E93" s="19"/>
      <c r="F93" s="79">
        <f t="shared" si="0"/>
        <v>2501.13</v>
      </c>
      <c r="G93" s="11"/>
      <c r="H93" s="20"/>
      <c r="I93" s="139"/>
      <c r="J93" s="20"/>
      <c r="K93" s="20"/>
      <c r="L93" s="20"/>
      <c r="M93" s="20"/>
      <c r="N93" s="20"/>
    </row>
    <row r="94" customHeight="1" spans="1:14">
      <c r="A94" s="6" t="s">
        <v>905</v>
      </c>
      <c r="B94" s="7" t="s">
        <v>906</v>
      </c>
      <c r="C94" s="8" t="s">
        <v>214</v>
      </c>
      <c r="D94" s="9"/>
      <c r="E94" s="10">
        <v>1</v>
      </c>
      <c r="F94" s="79">
        <f t="shared" si="0"/>
        <v>2500.13</v>
      </c>
      <c r="G94" s="20"/>
      <c r="H94" s="20"/>
      <c r="I94" s="20"/>
      <c r="J94" s="20"/>
      <c r="K94" s="20"/>
      <c r="L94" s="20"/>
      <c r="M94" s="20"/>
      <c r="N94" s="20"/>
    </row>
    <row r="95" customHeight="1" spans="1:14">
      <c r="A95" s="6"/>
      <c r="B95" s="7" t="s">
        <v>650</v>
      </c>
      <c r="C95" s="8" t="s">
        <v>86</v>
      </c>
      <c r="D95" s="9"/>
      <c r="E95" s="10">
        <f>40+18</f>
        <v>58</v>
      </c>
      <c r="F95" s="79">
        <f t="shared" si="0"/>
        <v>2442.13</v>
      </c>
      <c r="G95" s="20"/>
      <c r="H95" s="20"/>
      <c r="J95" s="20"/>
      <c r="K95" s="20"/>
      <c r="L95" s="20"/>
      <c r="M95" s="20"/>
      <c r="N95" s="20"/>
    </row>
    <row r="96" customHeight="1" spans="1:14">
      <c r="A96" s="6"/>
      <c r="B96" s="16" t="s">
        <v>907</v>
      </c>
      <c r="C96" s="17" t="s">
        <v>27</v>
      </c>
      <c r="D96" s="18"/>
      <c r="E96" s="19">
        <v>244</v>
      </c>
      <c r="F96" s="79">
        <f t="shared" si="0"/>
        <v>2198.13</v>
      </c>
      <c r="G96" s="11"/>
      <c r="H96" s="20"/>
      <c r="J96" s="20"/>
      <c r="K96" s="20"/>
      <c r="L96" s="20"/>
      <c r="M96" s="20"/>
      <c r="N96" s="20"/>
    </row>
    <row r="97" customHeight="1" spans="1:14">
      <c r="A97" s="6" t="s">
        <v>908</v>
      </c>
      <c r="B97" s="7" t="s">
        <v>531</v>
      </c>
      <c r="C97" s="8" t="s">
        <v>224</v>
      </c>
      <c r="D97" s="9"/>
      <c r="E97" s="10">
        <v>42</v>
      </c>
      <c r="F97" s="79">
        <f t="shared" si="0"/>
        <v>2156.13</v>
      </c>
      <c r="G97" s="11"/>
      <c r="H97" s="20"/>
      <c r="I97" s="13"/>
      <c r="J97" s="20"/>
      <c r="K97" s="20"/>
      <c r="L97" s="20"/>
      <c r="M97" s="20"/>
      <c r="N97" s="20"/>
    </row>
    <row r="98" customHeight="1" spans="1:14">
      <c r="A98" s="6"/>
      <c r="B98" s="7" t="s">
        <v>909</v>
      </c>
      <c r="C98" s="8" t="s">
        <v>27</v>
      </c>
      <c r="D98" s="9"/>
      <c r="E98" s="10">
        <v>54</v>
      </c>
      <c r="F98" s="79">
        <f t="shared" si="0"/>
        <v>2102.13</v>
      </c>
      <c r="G98" s="20">
        <f>ABS(G99-F99)</f>
        <v>4.54747350886464e-12</v>
      </c>
      <c r="H98" s="20"/>
      <c r="J98" s="20"/>
      <c r="K98" s="20"/>
      <c r="L98" s="20"/>
      <c r="M98" s="20"/>
      <c r="N98" s="20"/>
    </row>
    <row r="99" customHeight="1" spans="1:14">
      <c r="A99" s="6"/>
      <c r="B99" s="37" t="s">
        <v>35</v>
      </c>
      <c r="C99" s="8"/>
      <c r="D99" s="9"/>
      <c r="E99" s="10">
        <v>74</v>
      </c>
      <c r="F99" s="79">
        <f t="shared" si="0"/>
        <v>2028.13</v>
      </c>
      <c r="G99" s="11">
        <f>H99+I99+J99+K99+L99+M99+N99</f>
        <v>2028.13</v>
      </c>
      <c r="H99" s="20">
        <v>0</v>
      </c>
      <c r="I99">
        <v>732.64</v>
      </c>
      <c r="J99" s="20">
        <v>0</v>
      </c>
      <c r="K99" s="20">
        <v>0</v>
      </c>
      <c r="L99" s="20">
        <v>966.49</v>
      </c>
      <c r="M99" s="20">
        <v>0</v>
      </c>
      <c r="N99" s="20">
        <f>200+50+70+5+4</f>
        <v>329</v>
      </c>
    </row>
    <row r="100" customHeight="1" spans="1:14">
      <c r="A100" s="22" t="s">
        <v>905</v>
      </c>
      <c r="B100" s="23" t="s">
        <v>531</v>
      </c>
      <c r="C100" s="24" t="s">
        <v>224</v>
      </c>
      <c r="D100" s="25"/>
      <c r="E100" s="26">
        <v>19</v>
      </c>
      <c r="F100" s="85">
        <f t="shared" si="0"/>
        <v>2009.13</v>
      </c>
      <c r="G100" s="28"/>
      <c r="H100" s="28"/>
      <c r="I100" s="28"/>
      <c r="J100" s="28"/>
      <c r="K100" s="28"/>
      <c r="L100" s="28"/>
      <c r="M100" s="28"/>
      <c r="N100" s="28"/>
    </row>
    <row r="101" customHeight="1" spans="1:6">
      <c r="A101" s="14"/>
      <c r="B101" s="43" t="s">
        <v>411</v>
      </c>
      <c r="C101" s="8" t="s">
        <v>219</v>
      </c>
      <c r="D101" s="9"/>
      <c r="E101" s="10">
        <v>5.9</v>
      </c>
      <c r="F101" s="79">
        <f t="shared" si="0"/>
        <v>2003.23</v>
      </c>
    </row>
    <row r="102" customHeight="1" spans="1:14">
      <c r="A102" s="6" t="s">
        <v>910</v>
      </c>
      <c r="B102" s="16" t="s">
        <v>911</v>
      </c>
      <c r="C102" s="17" t="s">
        <v>27</v>
      </c>
      <c r="D102" s="18"/>
      <c r="E102" s="19">
        <v>565</v>
      </c>
      <c r="F102" s="79">
        <f t="shared" si="0"/>
        <v>1438.23</v>
      </c>
      <c r="G102" s="20">
        <f>ABS(G103-F103)</f>
        <v>4.54747350886464e-12</v>
      </c>
      <c r="H102" s="20"/>
      <c r="J102" s="20"/>
      <c r="K102" s="20"/>
      <c r="L102" s="20"/>
      <c r="M102" s="20"/>
      <c r="N102" s="20"/>
    </row>
    <row r="103" customHeight="1" spans="1:14">
      <c r="A103" s="6"/>
      <c r="B103" s="7"/>
      <c r="C103" s="8" t="s">
        <v>219</v>
      </c>
      <c r="D103" s="9"/>
      <c r="E103" s="10">
        <v>200</v>
      </c>
      <c r="F103" s="79">
        <f t="shared" si="0"/>
        <v>1238.23</v>
      </c>
      <c r="G103" s="11">
        <f>H103+I103+J103+K103+L103+M103+N103</f>
        <v>1238.23</v>
      </c>
      <c r="H103" s="20">
        <v>0</v>
      </c>
      <c r="I103">
        <v>167.64</v>
      </c>
      <c r="J103" s="20">
        <v>0</v>
      </c>
      <c r="K103" s="20">
        <v>0</v>
      </c>
      <c r="L103" s="20">
        <v>941.59</v>
      </c>
      <c r="M103" s="20">
        <v>0</v>
      </c>
      <c r="N103" s="20">
        <f>50+70+5+4</f>
        <v>129</v>
      </c>
    </row>
    <row r="104" customHeight="1" spans="1:14">
      <c r="A104" s="136" t="s">
        <v>912</v>
      </c>
      <c r="B104" s="116" t="s">
        <v>308</v>
      </c>
      <c r="C104" s="24" t="s">
        <v>201</v>
      </c>
      <c r="D104" s="25"/>
      <c r="E104" s="26">
        <v>200</v>
      </c>
      <c r="F104" s="85">
        <f t="shared" si="0"/>
        <v>1038.23</v>
      </c>
      <c r="G104" s="28"/>
      <c r="H104" s="28"/>
      <c r="I104" s="28"/>
      <c r="J104" s="28"/>
      <c r="K104" s="28"/>
      <c r="L104" s="28"/>
      <c r="M104" s="28"/>
      <c r="N104" s="28"/>
    </row>
    <row r="105" customHeight="1" spans="1:6">
      <c r="A105" s="14"/>
      <c r="B105" s="43" t="s">
        <v>531</v>
      </c>
      <c r="C105" s="8" t="s">
        <v>224</v>
      </c>
      <c r="D105" s="9"/>
      <c r="E105" s="10">
        <f>17.8+32</f>
        <v>49.8</v>
      </c>
      <c r="F105" s="79">
        <f t="shared" si="0"/>
        <v>988.429999999996</v>
      </c>
    </row>
    <row r="106" customHeight="1" spans="1:14">
      <c r="A106" s="14"/>
      <c r="B106" s="149" t="s">
        <v>307</v>
      </c>
      <c r="C106" s="17" t="s">
        <v>86</v>
      </c>
      <c r="D106" s="18"/>
      <c r="E106" s="19">
        <v>171</v>
      </c>
      <c r="F106" s="79">
        <f t="shared" si="0"/>
        <v>817.429999999996</v>
      </c>
      <c r="G106" s="20"/>
      <c r="H106" s="20"/>
      <c r="J106" s="20"/>
      <c r="K106" s="20"/>
      <c r="L106" s="20"/>
      <c r="M106" s="20"/>
      <c r="N106" s="20"/>
    </row>
    <row r="107" customHeight="1" spans="1:14">
      <c r="A107" s="14"/>
      <c r="B107" s="43" t="s">
        <v>437</v>
      </c>
      <c r="C107" s="8"/>
      <c r="D107" s="9">
        <v>500</v>
      </c>
      <c r="E107" s="10"/>
      <c r="F107" s="79">
        <f t="shared" si="0"/>
        <v>1317.43</v>
      </c>
      <c r="G107" s="11"/>
      <c r="H107" s="20"/>
      <c r="J107" s="20"/>
      <c r="K107" s="20"/>
      <c r="L107" s="20"/>
      <c r="M107" s="20"/>
      <c r="N107" s="20"/>
    </row>
    <row r="108" customHeight="1" spans="1:14">
      <c r="A108" s="14"/>
      <c r="B108" s="43" t="s">
        <v>913</v>
      </c>
      <c r="C108" s="8"/>
      <c r="D108" s="9">
        <f>1000+30.95</f>
        <v>1030.95</v>
      </c>
      <c r="E108" s="10"/>
      <c r="F108" s="79">
        <f t="shared" si="0"/>
        <v>2348.38</v>
      </c>
      <c r="G108" s="15"/>
      <c r="H108" s="15"/>
      <c r="I108" s="15"/>
      <c r="J108" s="15"/>
      <c r="K108" s="15"/>
      <c r="L108" s="15"/>
      <c r="M108" s="15"/>
      <c r="N108" s="15"/>
    </row>
    <row r="109" customHeight="1" spans="1:14">
      <c r="A109" s="14" t="s">
        <v>914</v>
      </c>
      <c r="B109" s="43" t="s">
        <v>305</v>
      </c>
      <c r="C109" s="8" t="s">
        <v>27</v>
      </c>
      <c r="D109" s="9"/>
      <c r="E109" s="10">
        <v>56</v>
      </c>
      <c r="F109" s="79">
        <f t="shared" si="0"/>
        <v>2292.38</v>
      </c>
      <c r="G109" s="15"/>
      <c r="H109" s="15"/>
      <c r="I109" s="15"/>
      <c r="J109" s="15"/>
      <c r="K109" s="15"/>
      <c r="L109" s="15"/>
      <c r="M109" s="15"/>
      <c r="N109" s="15"/>
    </row>
    <row r="110" customHeight="1" spans="1:14">
      <c r="A110" s="14"/>
      <c r="B110" s="43" t="s">
        <v>349</v>
      </c>
      <c r="C110" s="8"/>
      <c r="D110" s="9">
        <v>1</v>
      </c>
      <c r="E110" s="10"/>
      <c r="F110" s="79">
        <f t="shared" si="0"/>
        <v>2293.38</v>
      </c>
      <c r="G110" s="21"/>
      <c r="H110" s="15"/>
      <c r="I110" s="15"/>
      <c r="J110" s="15"/>
      <c r="K110" s="15"/>
      <c r="L110" s="15"/>
      <c r="M110" s="15"/>
      <c r="N110" s="15"/>
    </row>
    <row r="111" customHeight="1" spans="1:14">
      <c r="A111" s="14"/>
      <c r="B111" s="43" t="s">
        <v>531</v>
      </c>
      <c r="C111" s="8" t="s">
        <v>224</v>
      </c>
      <c r="D111" s="9"/>
      <c r="E111" s="10">
        <v>18</v>
      </c>
      <c r="F111" s="79">
        <f t="shared" si="0"/>
        <v>2275.38</v>
      </c>
      <c r="G111" s="20">
        <f>ABS(G112-F112)</f>
        <v>4.54747350886464e-12</v>
      </c>
      <c r="H111" s="20"/>
      <c r="J111" s="20"/>
      <c r="K111" s="20"/>
      <c r="L111" s="20"/>
      <c r="M111" s="20"/>
      <c r="N111" s="20"/>
    </row>
    <row r="112" customHeight="1" spans="1:14">
      <c r="A112" s="150"/>
      <c r="B112" s="151" t="s">
        <v>650</v>
      </c>
      <c r="C112" s="152" t="s">
        <v>86</v>
      </c>
      <c r="D112" s="153"/>
      <c r="E112" s="154">
        <v>170</v>
      </c>
      <c r="F112" s="99">
        <f t="shared" si="0"/>
        <v>2105.38</v>
      </c>
      <c r="G112" s="155">
        <f>H112+I112+J112+K112+L112+M112+N112</f>
        <v>2105.38</v>
      </c>
      <c r="H112" s="156">
        <v>0</v>
      </c>
      <c r="I112" s="157">
        <v>996.64</v>
      </c>
      <c r="J112" s="156">
        <v>0</v>
      </c>
      <c r="K112" s="156">
        <v>0</v>
      </c>
      <c r="L112" s="156">
        <f>317.74+238</f>
        <v>555.74</v>
      </c>
      <c r="M112" s="156">
        <v>0</v>
      </c>
      <c r="N112" s="156">
        <f>400+50+80+10+8+5</f>
        <v>553</v>
      </c>
    </row>
    <row r="113" customHeight="1" spans="1:14">
      <c r="A113" s="14" t="s">
        <v>915</v>
      </c>
      <c r="B113" s="7" t="s">
        <v>305</v>
      </c>
      <c r="C113" s="8" t="s">
        <v>27</v>
      </c>
      <c r="D113" s="9"/>
      <c r="E113" s="10">
        <v>59</v>
      </c>
      <c r="F113" s="79">
        <f t="shared" si="0"/>
        <v>2046.38</v>
      </c>
      <c r="G113" s="11"/>
      <c r="H113" s="20"/>
      <c r="J113" s="20"/>
      <c r="K113" s="20"/>
      <c r="L113" s="20"/>
      <c r="M113" s="20"/>
      <c r="N113" s="20"/>
    </row>
    <row r="114" customHeight="1" spans="1:14">
      <c r="A114" s="14"/>
      <c r="B114" s="7" t="s">
        <v>34</v>
      </c>
      <c r="C114" s="8" t="s">
        <v>224</v>
      </c>
      <c r="D114" s="9"/>
      <c r="E114" s="10">
        <f>238-59</f>
        <v>179</v>
      </c>
      <c r="F114" s="79">
        <f t="shared" si="0"/>
        <v>1867.38</v>
      </c>
      <c r="G114" s="15"/>
      <c r="H114" s="15"/>
      <c r="I114" s="15"/>
      <c r="J114" s="15"/>
      <c r="K114" s="15"/>
      <c r="L114" s="15"/>
      <c r="M114" s="15"/>
      <c r="N114" s="15"/>
    </row>
    <row r="115" customHeight="1" spans="1:14">
      <c r="A115" s="114"/>
      <c r="B115" s="62" t="s">
        <v>916</v>
      </c>
      <c r="C115" s="17" t="s">
        <v>224</v>
      </c>
      <c r="D115" s="18"/>
      <c r="E115" s="19">
        <f>238-45-48</f>
        <v>145</v>
      </c>
      <c r="F115" s="79">
        <f t="shared" si="0"/>
        <v>1722.38</v>
      </c>
      <c r="G115" s="20"/>
      <c r="H115" s="20"/>
      <c r="I115" s="20"/>
      <c r="J115" s="20"/>
      <c r="K115" s="20"/>
      <c r="L115" s="20"/>
      <c r="M115" s="20"/>
      <c r="N115" s="20"/>
    </row>
    <row r="116" customHeight="1" spans="1:14">
      <c r="A116" s="14" t="s">
        <v>917</v>
      </c>
      <c r="B116" s="16" t="s">
        <v>918</v>
      </c>
      <c r="C116" s="17" t="s">
        <v>86</v>
      </c>
      <c r="D116" s="18"/>
      <c r="E116" s="19">
        <v>223</v>
      </c>
      <c r="F116" s="79">
        <f t="shared" si="0"/>
        <v>1499.38</v>
      </c>
      <c r="G116" s="11"/>
      <c r="H116" s="20"/>
      <c r="J116" s="20"/>
      <c r="K116" s="20"/>
      <c r="L116" s="20"/>
      <c r="M116" s="20"/>
      <c r="N116" s="20"/>
    </row>
    <row r="117" customHeight="1" spans="1:6">
      <c r="A117" s="14"/>
      <c r="B117" s="16" t="s">
        <v>919</v>
      </c>
      <c r="C117" s="17" t="s">
        <v>27</v>
      </c>
      <c r="D117" s="18"/>
      <c r="E117" s="19">
        <f>45+48</f>
        <v>93</v>
      </c>
      <c r="F117" s="79">
        <f t="shared" si="0"/>
        <v>1406.38</v>
      </c>
    </row>
    <row r="118" customHeight="1" spans="1:14">
      <c r="A118" s="14" t="s">
        <v>920</v>
      </c>
      <c r="B118" s="7" t="s">
        <v>921</v>
      </c>
      <c r="C118" s="8" t="s">
        <v>27</v>
      </c>
      <c r="D118" s="9"/>
      <c r="E118" s="10">
        <v>241</v>
      </c>
      <c r="F118" s="79">
        <f t="shared" si="0"/>
        <v>1165.38</v>
      </c>
      <c r="G118" s="20"/>
      <c r="H118" s="20"/>
      <c r="J118" s="20"/>
      <c r="K118" s="20"/>
      <c r="L118" s="20"/>
      <c r="M118" s="20"/>
      <c r="N118" s="20"/>
    </row>
    <row r="119" customHeight="1" spans="1:14">
      <c r="A119" s="14"/>
      <c r="B119" s="16" t="s">
        <v>922</v>
      </c>
      <c r="C119" s="17" t="s">
        <v>27</v>
      </c>
      <c r="D119" s="18"/>
      <c r="E119" s="19">
        <v>51</v>
      </c>
      <c r="F119" s="79">
        <f t="shared" si="0"/>
        <v>1114.38</v>
      </c>
      <c r="G119" s="20">
        <f>ABS(G120-F120)</f>
        <v>4.43378667114303e-12</v>
      </c>
      <c r="H119" s="20"/>
      <c r="J119" s="20"/>
      <c r="K119" s="20"/>
      <c r="L119" s="20"/>
      <c r="M119" s="20"/>
      <c r="N119" s="20"/>
    </row>
    <row r="120" customHeight="1" spans="1:14">
      <c r="A120" s="14"/>
      <c r="B120" s="16" t="s">
        <v>923</v>
      </c>
      <c r="C120" s="17" t="s">
        <v>224</v>
      </c>
      <c r="D120" s="18"/>
      <c r="E120" s="19">
        <f>179-51</f>
        <v>128</v>
      </c>
      <c r="F120" s="79">
        <f t="shared" si="0"/>
        <v>986.379999999996</v>
      </c>
      <c r="G120" s="11">
        <f>H120+I120+J120+K120+L120+M120+N120</f>
        <v>986.38</v>
      </c>
      <c r="H120" s="20">
        <v>0</v>
      </c>
      <c r="I120">
        <f>535.64-179</f>
        <v>356.64</v>
      </c>
      <c r="J120" s="20">
        <v>0</v>
      </c>
      <c r="K120" s="20">
        <v>0</v>
      </c>
      <c r="L120" s="20">
        <v>76.74</v>
      </c>
      <c r="M120" s="20">
        <v>0</v>
      </c>
      <c r="N120" s="20">
        <f>400+50+80+10+8+5</f>
        <v>553</v>
      </c>
    </row>
    <row r="121" customHeight="1" spans="1:14">
      <c r="A121" s="136" t="s">
        <v>924</v>
      </c>
      <c r="B121" s="23" t="s">
        <v>275</v>
      </c>
      <c r="C121" s="24" t="s">
        <v>219</v>
      </c>
      <c r="D121" s="25"/>
      <c r="E121" s="26">
        <v>200</v>
      </c>
      <c r="F121" s="85">
        <f t="shared" si="0"/>
        <v>786.379999999996</v>
      </c>
      <c r="G121" s="27"/>
      <c r="H121" s="38"/>
      <c r="I121" s="38"/>
      <c r="J121" s="38"/>
      <c r="K121" s="38"/>
      <c r="L121" s="38"/>
      <c r="M121" s="38"/>
      <c r="N121" s="38"/>
    </row>
    <row r="122" customHeight="1" spans="1:14">
      <c r="A122" s="114"/>
      <c r="B122" s="16" t="s">
        <v>268</v>
      </c>
      <c r="C122" s="17" t="s">
        <v>86</v>
      </c>
      <c r="D122" s="18"/>
      <c r="E122" s="19">
        <v>495</v>
      </c>
      <c r="F122" s="79">
        <f t="shared" si="0"/>
        <v>291.379999999996</v>
      </c>
      <c r="G122" s="20">
        <f>ABS(G123-F123)</f>
        <v>4.43378667114303e-12</v>
      </c>
      <c r="H122" s="20"/>
      <c r="J122" s="20"/>
      <c r="K122" s="20"/>
      <c r="L122" s="20"/>
      <c r="M122" s="20"/>
      <c r="N122" s="20"/>
    </row>
    <row r="123" customHeight="1" spans="1:14">
      <c r="A123" s="14"/>
      <c r="B123" s="7" t="s">
        <v>925</v>
      </c>
      <c r="C123" s="8" t="s">
        <v>86</v>
      </c>
      <c r="D123" s="9"/>
      <c r="E123" s="10">
        <v>30</v>
      </c>
      <c r="F123" s="79">
        <f t="shared" si="0"/>
        <v>261.379999999996</v>
      </c>
      <c r="G123" s="11">
        <f>H123+I123+J123+K123+L123+M123+N123</f>
        <v>261.38</v>
      </c>
      <c r="H123" s="20">
        <v>0</v>
      </c>
      <c r="I123">
        <f>356.64-495</f>
        <v>-138.36</v>
      </c>
      <c r="J123" s="20">
        <v>0</v>
      </c>
      <c r="K123" s="20">
        <v>0</v>
      </c>
      <c r="L123" s="20">
        <v>76.74</v>
      </c>
      <c r="M123" s="20">
        <v>0</v>
      </c>
      <c r="N123" s="20">
        <f>170+50+80+10+8+5</f>
        <v>323</v>
      </c>
    </row>
    <row r="124" customHeight="1" spans="1:14">
      <c r="A124" s="136"/>
      <c r="B124" s="23"/>
      <c r="C124" s="24"/>
      <c r="D124" s="25"/>
      <c r="E124" s="26"/>
      <c r="F124" s="85">
        <f t="shared" si="0"/>
        <v>261.379999999996</v>
      </c>
      <c r="G124" s="28"/>
      <c r="H124" s="28"/>
      <c r="I124" s="28"/>
      <c r="J124" s="28"/>
      <c r="K124" s="28"/>
      <c r="L124" s="28"/>
      <c r="M124" s="28"/>
      <c r="N124" s="28"/>
    </row>
    <row r="125" customHeight="1" spans="1:14">
      <c r="A125" s="14"/>
      <c r="B125" s="7"/>
      <c r="C125" s="8"/>
      <c r="D125" s="9"/>
      <c r="E125" s="10"/>
      <c r="F125" s="79">
        <f t="shared" si="0"/>
        <v>261.379999999996</v>
      </c>
      <c r="G125" s="20"/>
      <c r="H125" s="20"/>
      <c r="I125" s="20"/>
      <c r="J125" s="20"/>
      <c r="K125" s="20"/>
      <c r="L125" s="20"/>
      <c r="M125" s="20"/>
      <c r="N125" s="20"/>
    </row>
    <row r="126" customHeight="1" spans="1:14">
      <c r="A126" s="14"/>
      <c r="B126" s="7"/>
      <c r="C126" s="8"/>
      <c r="D126" s="9"/>
      <c r="E126" s="10"/>
      <c r="F126" s="79">
        <f t="shared" si="0"/>
        <v>261.379999999996</v>
      </c>
      <c r="G126" s="15"/>
      <c r="H126" s="15"/>
      <c r="I126" s="15"/>
      <c r="J126" s="15"/>
      <c r="K126" s="15"/>
      <c r="L126" s="15"/>
      <c r="M126" s="15"/>
      <c r="N126" s="15"/>
    </row>
    <row r="127" customHeight="1" spans="1:14">
      <c r="A127" s="14"/>
      <c r="B127" s="7"/>
      <c r="C127" s="8"/>
      <c r="D127" s="9"/>
      <c r="E127" s="10"/>
      <c r="F127" s="79">
        <f t="shared" si="0"/>
        <v>261.379999999996</v>
      </c>
      <c r="G127" s="20"/>
      <c r="H127" s="20"/>
      <c r="J127" s="20"/>
      <c r="K127" s="20"/>
      <c r="L127" s="20"/>
      <c r="M127" s="20"/>
      <c r="N127" s="20"/>
    </row>
    <row r="128" customHeight="1" spans="1:14">
      <c r="A128" s="14"/>
      <c r="B128" s="7"/>
      <c r="C128" s="8"/>
      <c r="D128" s="9"/>
      <c r="E128" s="10"/>
      <c r="F128" s="79">
        <f t="shared" si="0"/>
        <v>261.379999999996</v>
      </c>
      <c r="G128" s="11"/>
      <c r="H128" s="20"/>
      <c r="J128" s="20"/>
      <c r="K128" s="20"/>
      <c r="L128" s="20"/>
      <c r="M128" s="20"/>
      <c r="N128" s="20"/>
    </row>
    <row r="129" customHeight="1" spans="1:14">
      <c r="A129" s="14"/>
      <c r="B129" s="7"/>
      <c r="C129" s="8"/>
      <c r="D129" s="9"/>
      <c r="E129" s="10"/>
      <c r="F129" s="79">
        <f t="shared" si="0"/>
        <v>261.379999999996</v>
      </c>
      <c r="G129" s="15"/>
      <c r="H129" s="15"/>
      <c r="I129" s="15"/>
      <c r="J129" s="15"/>
      <c r="K129" s="15"/>
      <c r="L129" s="15"/>
      <c r="M129" s="15"/>
      <c r="N129" s="15"/>
    </row>
    <row r="130" customHeight="1" spans="1:14">
      <c r="A130" s="14"/>
      <c r="B130" s="7"/>
      <c r="C130" s="8"/>
      <c r="D130" s="9"/>
      <c r="E130" s="10"/>
      <c r="F130" s="79">
        <f t="shared" si="0"/>
        <v>261.379999999996</v>
      </c>
      <c r="G130" s="15"/>
      <c r="H130" s="15"/>
      <c r="I130" s="15"/>
      <c r="J130" s="15"/>
      <c r="K130" s="15"/>
      <c r="L130" s="15"/>
      <c r="M130" s="15"/>
      <c r="N130" s="15"/>
    </row>
    <row r="131" customHeight="1" spans="1:14">
      <c r="A131" s="14"/>
      <c r="B131" s="7"/>
      <c r="C131" s="8"/>
      <c r="D131" s="9"/>
      <c r="E131" s="10"/>
      <c r="F131" s="79">
        <f t="shared" si="0"/>
        <v>261.379999999996</v>
      </c>
      <c r="G131" s="140"/>
      <c r="H131" s="141"/>
      <c r="I131" s="140"/>
      <c r="J131" s="140"/>
      <c r="K131" s="140"/>
      <c r="L131" s="140"/>
      <c r="M131" s="140"/>
      <c r="N131" s="15"/>
    </row>
    <row r="132" customHeight="1" spans="1:14">
      <c r="A132" s="14"/>
      <c r="B132" s="7"/>
      <c r="C132" s="8"/>
      <c r="D132" s="9"/>
      <c r="E132" s="10"/>
      <c r="F132" s="79">
        <f t="shared" si="0"/>
        <v>261.379999999996</v>
      </c>
      <c r="G132" s="12"/>
      <c r="H132" s="12"/>
      <c r="I132" s="12"/>
      <c r="J132" s="64"/>
      <c r="K132" s="12"/>
      <c r="L132" s="12"/>
      <c r="M132" s="12"/>
      <c r="N132" s="12"/>
    </row>
    <row r="133" customHeight="1" spans="1:14">
      <c r="A133" s="14"/>
      <c r="B133" s="7"/>
      <c r="C133" s="8"/>
      <c r="D133" s="9"/>
      <c r="E133" s="10"/>
      <c r="F133" s="79">
        <f t="shared" si="0"/>
        <v>261.379999999996</v>
      </c>
      <c r="G133" s="142"/>
      <c r="H133" s="143"/>
      <c r="I133" s="143"/>
      <c r="J133" s="143"/>
      <c r="K133" s="143"/>
      <c r="L133" s="143"/>
      <c r="M133" s="143"/>
      <c r="N133" s="142"/>
    </row>
    <row r="134" customHeight="1" spans="1:14">
      <c r="A134" s="14"/>
      <c r="B134" s="7"/>
      <c r="C134" s="8"/>
      <c r="D134" s="9"/>
      <c r="E134" s="10"/>
      <c r="F134" s="79">
        <f t="shared" si="0"/>
        <v>261.379999999996</v>
      </c>
      <c r="G134" s="142"/>
      <c r="H134" s="143"/>
      <c r="I134" s="143"/>
      <c r="J134" s="143"/>
      <c r="K134" s="143"/>
      <c r="L134" s="143"/>
      <c r="M134" s="143"/>
      <c r="N134" s="142"/>
    </row>
    <row r="135" customHeight="1" spans="1:14">
      <c r="A135" s="14"/>
      <c r="B135" s="7"/>
      <c r="C135" s="8"/>
      <c r="D135" s="9"/>
      <c r="E135" s="10"/>
      <c r="F135" s="79">
        <f t="shared" si="0"/>
        <v>261.379999999996</v>
      </c>
      <c r="G135" s="12"/>
      <c r="H135" s="12"/>
      <c r="I135" s="12"/>
      <c r="J135" s="12"/>
      <c r="K135" s="12"/>
      <c r="L135" s="12"/>
      <c r="M135" s="12"/>
      <c r="N135" s="12"/>
    </row>
    <row r="136" customHeight="1" spans="1:14">
      <c r="A136" s="14"/>
      <c r="B136" s="7"/>
      <c r="C136" s="8"/>
      <c r="D136" s="9"/>
      <c r="E136" s="10"/>
      <c r="F136" s="79">
        <f t="shared" si="0"/>
        <v>261.379999999996</v>
      </c>
      <c r="G136" s="21"/>
      <c r="H136" s="15"/>
      <c r="I136" s="13"/>
      <c r="J136" s="15"/>
      <c r="K136" s="15"/>
      <c r="L136" s="20"/>
      <c r="M136" s="15"/>
      <c r="N136" s="15"/>
    </row>
    <row r="137" customHeight="1" spans="1:14">
      <c r="A137" s="14"/>
      <c r="B137" s="7"/>
      <c r="C137" s="8"/>
      <c r="D137" s="9"/>
      <c r="E137" s="10"/>
      <c r="F137" s="79">
        <f t="shared" si="0"/>
        <v>261.379999999996</v>
      </c>
      <c r="G137" s="12"/>
      <c r="H137" s="13"/>
      <c r="I137" s="13"/>
      <c r="J137" s="13"/>
      <c r="K137" s="13"/>
      <c r="L137" s="13"/>
      <c r="M137" s="13"/>
      <c r="N137" s="13"/>
    </row>
    <row r="138" customHeight="1" spans="1:14">
      <c r="A138" s="14"/>
      <c r="B138" s="7"/>
      <c r="C138" s="8"/>
      <c r="D138" s="9"/>
      <c r="E138" s="10"/>
      <c r="F138" s="79">
        <f t="shared" si="0"/>
        <v>261.379999999996</v>
      </c>
      <c r="G138" s="20"/>
      <c r="H138" s="20"/>
      <c r="I138" s="20"/>
      <c r="J138" s="20"/>
      <c r="K138" s="20"/>
      <c r="L138" s="20"/>
      <c r="M138" s="20"/>
      <c r="N138" s="20"/>
    </row>
    <row r="139" customHeight="1" spans="1:14">
      <c r="A139" s="14"/>
      <c r="B139" s="7"/>
      <c r="C139" s="8"/>
      <c r="D139" s="9"/>
      <c r="E139" s="10"/>
      <c r="F139" s="79">
        <f t="shared" si="0"/>
        <v>261.379999999996</v>
      </c>
      <c r="G139" s="11"/>
      <c r="H139" s="20"/>
      <c r="I139" s="20"/>
      <c r="J139" s="20"/>
      <c r="K139" s="20"/>
      <c r="L139" s="20"/>
      <c r="M139" s="20"/>
      <c r="N139" s="20"/>
    </row>
    <row r="140" customHeight="1" spans="1:14">
      <c r="A140" s="14"/>
      <c r="B140" s="7"/>
      <c r="C140" s="8"/>
      <c r="D140" s="9"/>
      <c r="E140" s="10"/>
      <c r="F140" s="79">
        <f t="shared" si="0"/>
        <v>261.379999999996</v>
      </c>
      <c r="G140" s="12"/>
      <c r="H140" s="12"/>
      <c r="I140" s="12"/>
      <c r="J140" s="12"/>
      <c r="K140" s="12"/>
      <c r="L140" s="12"/>
      <c r="M140" s="12"/>
      <c r="N140" s="12"/>
    </row>
    <row r="141" customHeight="1" spans="1:14">
      <c r="A141" s="14"/>
      <c r="B141" s="7"/>
      <c r="C141" s="8"/>
      <c r="D141" s="9"/>
      <c r="E141" s="10"/>
      <c r="F141" s="79">
        <f t="shared" si="0"/>
        <v>261.379999999996</v>
      </c>
      <c r="G141" s="20"/>
      <c r="H141" s="20"/>
      <c r="I141" s="20"/>
      <c r="J141" s="20"/>
      <c r="K141" s="20"/>
      <c r="L141" s="20"/>
      <c r="M141" s="20"/>
      <c r="N141" s="20"/>
    </row>
    <row r="142" customHeight="1" spans="1:14">
      <c r="A142" s="14"/>
      <c r="B142" s="7"/>
      <c r="C142" s="8"/>
      <c r="D142" s="9"/>
      <c r="E142" s="10"/>
      <c r="F142" s="79">
        <f t="shared" si="0"/>
        <v>261.379999999996</v>
      </c>
      <c r="G142" s="11"/>
      <c r="H142" s="20"/>
      <c r="I142" s="13"/>
      <c r="J142" s="20"/>
      <c r="K142" s="20"/>
      <c r="L142" s="20"/>
      <c r="M142" s="20"/>
      <c r="N142" s="20"/>
    </row>
    <row r="143" customHeight="1" spans="1:14">
      <c r="A143" s="14"/>
      <c r="B143" s="7"/>
      <c r="C143" s="8"/>
      <c r="D143" s="9"/>
      <c r="E143" s="10"/>
      <c r="F143" s="79">
        <f t="shared" si="0"/>
        <v>261.379999999996</v>
      </c>
      <c r="G143" s="12"/>
      <c r="H143" s="12"/>
      <c r="I143" s="12"/>
      <c r="J143" s="12"/>
      <c r="K143" s="12"/>
      <c r="L143" s="12"/>
      <c r="M143" s="12"/>
      <c r="N143" s="12"/>
    </row>
    <row r="144" customHeight="1" spans="1:14">
      <c r="A144" s="117"/>
      <c r="B144" s="74"/>
      <c r="C144" s="75"/>
      <c r="D144" s="76"/>
      <c r="E144" s="78"/>
      <c r="F144" s="79">
        <f t="shared" si="0"/>
        <v>261.379999999996</v>
      </c>
      <c r="G144" s="124"/>
      <c r="H144" s="125"/>
      <c r="I144" s="125"/>
      <c r="J144" s="125"/>
      <c r="K144" s="125"/>
      <c r="L144" s="125"/>
      <c r="M144" s="125"/>
      <c r="N144" s="124"/>
    </row>
    <row r="145" customHeight="1" spans="1:14">
      <c r="A145" s="117"/>
      <c r="B145" s="74"/>
      <c r="C145" s="75"/>
      <c r="D145" s="76"/>
      <c r="E145" s="78"/>
      <c r="F145" s="79">
        <f t="shared" si="0"/>
        <v>261.379999999996</v>
      </c>
      <c r="G145" s="77"/>
      <c r="H145" s="77"/>
      <c r="I145" s="77"/>
      <c r="J145" s="77"/>
      <c r="K145" s="77"/>
      <c r="L145" s="110"/>
      <c r="M145" s="77"/>
      <c r="N145" s="77"/>
    </row>
    <row r="146" customHeight="1" spans="1:14">
      <c r="A146" s="117"/>
      <c r="B146" s="74"/>
      <c r="C146" s="75"/>
      <c r="D146" s="76"/>
      <c r="E146" s="78"/>
      <c r="F146" s="79">
        <f t="shared" si="0"/>
        <v>261.379999999996</v>
      </c>
      <c r="G146" s="110"/>
      <c r="H146" s="110"/>
      <c r="I146" s="110"/>
      <c r="J146" s="110"/>
      <c r="K146" s="110"/>
      <c r="L146" s="110"/>
      <c r="M146" s="110"/>
      <c r="N146" s="110"/>
    </row>
    <row r="147" customHeight="1" spans="1:14">
      <c r="A147" s="117"/>
      <c r="B147" s="74"/>
      <c r="C147" s="75"/>
      <c r="D147" s="76"/>
      <c r="E147" s="78"/>
      <c r="F147" s="79">
        <f t="shared" si="0"/>
        <v>261.379999999996</v>
      </c>
      <c r="G147" s="110"/>
      <c r="H147" s="110"/>
      <c r="I147" s="110"/>
      <c r="J147" s="110"/>
      <c r="K147" s="110"/>
      <c r="L147" s="110"/>
      <c r="M147" s="110"/>
      <c r="N147" s="110"/>
    </row>
    <row r="148" customHeight="1" spans="1:14">
      <c r="A148" s="117"/>
      <c r="B148" s="74"/>
      <c r="C148" s="75"/>
      <c r="D148" s="76"/>
      <c r="E148" s="78"/>
      <c r="F148" s="79">
        <f t="shared" si="0"/>
        <v>261.379999999996</v>
      </c>
      <c r="G148" s="158"/>
      <c r="H148" s="158"/>
      <c r="I148" s="158"/>
      <c r="J148" s="158"/>
      <c r="K148" s="158"/>
      <c r="L148" s="158"/>
      <c r="M148" s="158"/>
      <c r="N148" s="105"/>
    </row>
    <row r="149" customHeight="1" spans="1:14">
      <c r="A149" s="117"/>
      <c r="B149" s="74"/>
      <c r="C149" s="75"/>
      <c r="D149" s="76"/>
      <c r="E149" s="78"/>
      <c r="F149" s="79">
        <f t="shared" si="0"/>
        <v>261.379999999996</v>
      </c>
      <c r="G149" s="158"/>
      <c r="H149" s="158"/>
      <c r="I149" s="158"/>
      <c r="J149" s="158"/>
      <c r="K149" s="158"/>
      <c r="L149" s="158"/>
      <c r="M149" s="158"/>
      <c r="N149" s="158"/>
    </row>
    <row r="150" customHeight="1" spans="1:14">
      <c r="A150" s="117"/>
      <c r="B150" s="74"/>
      <c r="C150" s="75"/>
      <c r="D150" s="76"/>
      <c r="E150" s="78"/>
      <c r="F150" s="79">
        <f t="shared" si="0"/>
        <v>261.379999999996</v>
      </c>
      <c r="G150" s="158"/>
      <c r="H150" s="158"/>
      <c r="I150" s="158"/>
      <c r="J150" s="158"/>
      <c r="K150" s="158"/>
      <c r="L150" s="158"/>
      <c r="M150" s="158"/>
      <c r="N150" s="158"/>
    </row>
    <row r="151" customHeight="1" spans="1:14">
      <c r="A151" s="117"/>
      <c r="B151" s="74"/>
      <c r="C151" s="75"/>
      <c r="D151" s="76"/>
      <c r="E151" s="78"/>
      <c r="F151" s="79">
        <f t="shared" si="0"/>
        <v>261.379999999996</v>
      </c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17"/>
      <c r="B152" s="74"/>
      <c r="C152" s="75"/>
      <c r="D152" s="76"/>
      <c r="E152" s="78"/>
      <c r="F152" s="79">
        <f t="shared" si="0"/>
        <v>261.379999999996</v>
      </c>
      <c r="G152" s="110"/>
      <c r="H152" s="110"/>
      <c r="I152" s="110"/>
      <c r="J152" s="110"/>
      <c r="K152" s="110"/>
      <c r="L152" s="110"/>
      <c r="M152" s="110"/>
      <c r="N152" s="110"/>
    </row>
    <row r="153" customHeight="1" spans="1:14">
      <c r="A153" s="117"/>
      <c r="B153" s="74"/>
      <c r="C153" s="75"/>
      <c r="D153" s="76"/>
      <c r="E153" s="78"/>
      <c r="F153" s="79">
        <f t="shared" si="0"/>
        <v>261.379999999996</v>
      </c>
      <c r="G153" s="118"/>
      <c r="H153" s="158"/>
      <c r="I153" s="105"/>
      <c r="J153" s="158"/>
      <c r="K153" s="158"/>
      <c r="L153" s="77"/>
      <c r="M153" s="158"/>
      <c r="N153" s="158"/>
    </row>
    <row r="154" customHeight="1" spans="1:14">
      <c r="A154" s="117"/>
      <c r="B154" s="74"/>
      <c r="C154" s="75"/>
      <c r="D154" s="76"/>
      <c r="E154" s="78"/>
      <c r="F154" s="79">
        <f t="shared" si="0"/>
        <v>261.379999999996</v>
      </c>
      <c r="G154" s="158"/>
      <c r="H154" s="158"/>
      <c r="I154" s="158"/>
      <c r="J154" s="158"/>
      <c r="K154" s="158"/>
      <c r="L154" s="158"/>
      <c r="M154" s="158"/>
      <c r="N154" s="158"/>
    </row>
    <row r="155" customHeight="1" spans="1:14">
      <c r="A155" s="117"/>
      <c r="B155" s="74"/>
      <c r="C155" s="75"/>
      <c r="D155" s="76"/>
      <c r="E155" s="78"/>
      <c r="F155" s="79">
        <f t="shared" si="0"/>
        <v>261.379999999996</v>
      </c>
      <c r="G155" s="77"/>
      <c r="H155" s="77"/>
      <c r="I155" s="77"/>
      <c r="J155" s="77"/>
      <c r="K155" s="77"/>
      <c r="L155" s="110"/>
      <c r="M155" s="77"/>
      <c r="N155" s="77"/>
    </row>
    <row r="156" customHeight="1" spans="1:14">
      <c r="A156" s="117"/>
      <c r="B156" s="74"/>
      <c r="C156" s="75"/>
      <c r="D156" s="76"/>
      <c r="E156" s="78"/>
      <c r="F156" s="79">
        <f t="shared" si="0"/>
        <v>261.379999999996</v>
      </c>
      <c r="G156" s="110"/>
      <c r="H156" s="110"/>
      <c r="I156" s="110"/>
      <c r="J156" s="110"/>
      <c r="K156" s="110"/>
      <c r="L156" s="110"/>
      <c r="M156" s="110"/>
      <c r="N156" s="110"/>
    </row>
    <row r="157" customHeight="1" spans="1:14">
      <c r="A157" s="117"/>
      <c r="B157" s="74"/>
      <c r="C157" s="75"/>
      <c r="D157" s="76"/>
      <c r="E157" s="78"/>
      <c r="F157" s="79">
        <f t="shared" si="0"/>
        <v>261.379999999996</v>
      </c>
      <c r="G157" s="110"/>
      <c r="H157" s="110"/>
      <c r="I157" s="110"/>
      <c r="J157" s="110"/>
      <c r="K157" s="110"/>
      <c r="L157" s="110"/>
      <c r="M157" s="110"/>
      <c r="N157" s="110"/>
    </row>
    <row r="158" customHeight="1" spans="1:14">
      <c r="A158" s="117"/>
      <c r="B158" s="74"/>
      <c r="C158" s="75"/>
      <c r="D158" s="76"/>
      <c r="E158" s="78"/>
      <c r="F158" s="79">
        <f t="shared" si="0"/>
        <v>261.379999999996</v>
      </c>
      <c r="G158" s="110"/>
      <c r="H158" s="110"/>
      <c r="I158" s="110"/>
      <c r="J158" s="110"/>
      <c r="K158" s="110"/>
      <c r="L158" s="110"/>
      <c r="M158" s="110"/>
      <c r="N158" s="110"/>
    </row>
    <row r="159" customHeight="1" spans="1:14">
      <c r="A159" s="117"/>
      <c r="B159" s="74"/>
      <c r="C159" s="75"/>
      <c r="D159" s="76"/>
      <c r="E159" s="78"/>
      <c r="F159" s="79">
        <f t="shared" si="0"/>
        <v>261.379999999996</v>
      </c>
      <c r="G159" s="118"/>
      <c r="H159" s="158"/>
      <c r="I159" s="105"/>
      <c r="J159" s="158"/>
      <c r="K159" s="158"/>
      <c r="L159" s="77"/>
      <c r="M159" s="158"/>
      <c r="N159" s="158"/>
    </row>
    <row r="160" customHeight="1" spans="1:14">
      <c r="A160" s="117"/>
      <c r="B160" s="74"/>
      <c r="C160" s="75"/>
      <c r="D160" s="76"/>
      <c r="E160" s="78"/>
      <c r="F160" s="79">
        <f t="shared" si="0"/>
        <v>261.379999999996</v>
      </c>
      <c r="G160" s="110"/>
      <c r="H160" s="105"/>
      <c r="I160" s="105"/>
      <c r="J160" s="105"/>
      <c r="K160" s="105"/>
      <c r="L160" s="105"/>
      <c r="M160" s="105"/>
      <c r="N160" s="105"/>
    </row>
    <row r="161" customHeight="1" spans="1:14">
      <c r="A161" s="117"/>
      <c r="B161" s="74"/>
      <c r="C161" s="75"/>
      <c r="D161" s="76"/>
      <c r="E161" s="78"/>
      <c r="F161" s="79">
        <f t="shared" si="0"/>
        <v>261.379999999996</v>
      </c>
      <c r="G161" s="77"/>
      <c r="H161" s="77"/>
      <c r="I161" s="77"/>
      <c r="J161" s="77"/>
      <c r="K161" s="77"/>
      <c r="L161" s="110"/>
      <c r="M161" s="77"/>
      <c r="N161" s="77"/>
    </row>
    <row r="162" customHeight="1" spans="1:14">
      <c r="A162" s="117"/>
      <c r="B162" s="74"/>
      <c r="C162" s="75"/>
      <c r="D162" s="76"/>
      <c r="E162" s="78"/>
      <c r="F162" s="79">
        <f t="shared" si="0"/>
        <v>261.379999999996</v>
      </c>
      <c r="G162" s="124"/>
      <c r="H162" s="125"/>
      <c r="I162" s="125"/>
      <c r="J162" s="125"/>
      <c r="K162" s="125"/>
      <c r="L162" s="125"/>
      <c r="M162" s="125"/>
      <c r="N162" s="125"/>
    </row>
    <row r="163" customHeight="1" spans="1:14">
      <c r="A163" s="117"/>
      <c r="B163" s="74"/>
      <c r="C163" s="75"/>
      <c r="D163" s="76"/>
      <c r="E163" s="78"/>
      <c r="F163" s="79">
        <f t="shared" si="0"/>
        <v>261.379999999996</v>
      </c>
      <c r="G163" s="110"/>
      <c r="H163" s="110"/>
      <c r="I163" s="110"/>
      <c r="J163" s="110"/>
      <c r="K163" s="110"/>
      <c r="L163" s="110"/>
      <c r="M163" s="110"/>
      <c r="N163" s="110"/>
    </row>
    <row r="164" customHeight="1" spans="1:14">
      <c r="A164" s="117"/>
      <c r="B164" s="74"/>
      <c r="C164" s="75"/>
      <c r="D164" s="76"/>
      <c r="E164" s="78"/>
      <c r="F164" s="79">
        <f t="shared" si="0"/>
        <v>261.379999999996</v>
      </c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17"/>
      <c r="B165" s="74"/>
      <c r="C165" s="75"/>
      <c r="D165" s="76"/>
      <c r="E165" s="78"/>
      <c r="F165" s="79">
        <f t="shared" si="0"/>
        <v>261.379999999996</v>
      </c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17"/>
      <c r="B166" s="74"/>
      <c r="C166" s="75"/>
      <c r="D166" s="76"/>
      <c r="E166" s="78"/>
      <c r="F166" s="79">
        <f t="shared" si="0"/>
        <v>261.379999999996</v>
      </c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4">
      <c r="A167" s="117"/>
      <c r="B167" s="74"/>
      <c r="C167" s="75"/>
      <c r="D167" s="76"/>
      <c r="E167" s="78"/>
      <c r="F167" s="79">
        <f t="shared" si="0"/>
        <v>261.379999999996</v>
      </c>
      <c r="G167" s="110"/>
      <c r="H167" s="110"/>
      <c r="I167" s="110"/>
      <c r="J167" s="110"/>
      <c r="K167" s="110"/>
      <c r="L167" s="110"/>
      <c r="M167" s="110"/>
      <c r="N167" s="110"/>
    </row>
    <row r="168" customHeight="1" spans="1:14">
      <c r="A168" s="117"/>
      <c r="B168" s="74"/>
      <c r="C168" s="75"/>
      <c r="D168" s="76"/>
      <c r="E168" s="78"/>
      <c r="F168" s="79">
        <f t="shared" si="0"/>
        <v>261.379999999996</v>
      </c>
      <c r="G168" s="110"/>
      <c r="H168" s="110"/>
      <c r="I168" s="110"/>
      <c r="J168" s="110"/>
      <c r="K168" s="110"/>
      <c r="L168" s="110"/>
      <c r="M168" s="110"/>
      <c r="N168" s="110"/>
    </row>
    <row r="169" customHeight="1" spans="1:14">
      <c r="A169" s="117"/>
      <c r="B169" s="74"/>
      <c r="C169" s="75"/>
      <c r="D169" s="76"/>
      <c r="E169" s="78"/>
      <c r="F169" s="79">
        <f t="shared" si="0"/>
        <v>261.379999999996</v>
      </c>
      <c r="G169" s="110"/>
      <c r="H169" s="110"/>
      <c r="I169" s="110"/>
      <c r="J169" s="110"/>
      <c r="K169" s="110"/>
      <c r="L169" s="110"/>
      <c r="M169" s="110"/>
      <c r="N169" s="110"/>
    </row>
    <row r="170" customHeight="1" spans="1:14">
      <c r="A170" s="117"/>
      <c r="B170" s="74"/>
      <c r="C170" s="75"/>
      <c r="D170" s="76"/>
      <c r="E170" s="78"/>
      <c r="F170" s="79">
        <f t="shared" si="0"/>
        <v>261.379999999996</v>
      </c>
      <c r="G170" s="77"/>
      <c r="H170" s="77"/>
      <c r="I170" s="77"/>
      <c r="J170" s="77"/>
      <c r="K170" s="77"/>
      <c r="L170" s="110"/>
      <c r="M170" s="77"/>
      <c r="N170" s="77"/>
    </row>
    <row r="171" customHeight="1" spans="1:14">
      <c r="A171" s="117"/>
      <c r="B171" s="74"/>
      <c r="C171" s="75"/>
      <c r="D171" s="76"/>
      <c r="E171" s="78"/>
      <c r="F171" s="79">
        <f t="shared" si="0"/>
        <v>261.379999999996</v>
      </c>
      <c r="G171" s="77"/>
      <c r="H171" s="77"/>
      <c r="I171" s="77"/>
      <c r="J171" s="77"/>
      <c r="K171" s="77"/>
      <c r="L171" s="110"/>
      <c r="M171" s="77"/>
      <c r="N171" s="77"/>
    </row>
    <row r="172" customHeight="1" spans="1:14">
      <c r="A172" s="117"/>
      <c r="B172" s="74"/>
      <c r="C172" s="75"/>
      <c r="D172" s="76"/>
      <c r="E172" s="78"/>
      <c r="F172" s="79">
        <f t="shared" si="0"/>
        <v>261.379999999996</v>
      </c>
      <c r="G172" s="158"/>
      <c r="H172" s="158"/>
      <c r="I172" s="158"/>
      <c r="J172" s="158"/>
      <c r="K172" s="158"/>
      <c r="L172" s="158"/>
      <c r="M172" s="158"/>
      <c r="N172" s="158"/>
    </row>
    <row r="173" customHeight="1" spans="1:14">
      <c r="A173" s="117"/>
      <c r="B173" s="74"/>
      <c r="C173" s="75"/>
      <c r="D173" s="76"/>
      <c r="E173" s="78"/>
      <c r="F173" s="79">
        <f t="shared" si="0"/>
        <v>261.379999999996</v>
      </c>
      <c r="G173" s="158"/>
      <c r="H173" s="158"/>
      <c r="I173" s="158"/>
      <c r="J173" s="158"/>
      <c r="K173" s="158"/>
      <c r="L173" s="158"/>
      <c r="M173" s="158"/>
      <c r="N173" s="158"/>
    </row>
    <row r="174" customHeight="1" spans="1:14">
      <c r="A174" s="117"/>
      <c r="B174" s="74"/>
      <c r="C174" s="75"/>
      <c r="D174" s="76"/>
      <c r="E174" s="78"/>
      <c r="F174" s="79">
        <f t="shared" si="0"/>
        <v>261.379999999996</v>
      </c>
      <c r="G174" s="158"/>
      <c r="H174" s="158"/>
      <c r="I174" s="158"/>
      <c r="J174" s="158"/>
      <c r="K174" s="158"/>
      <c r="L174" s="158"/>
      <c r="M174" s="158"/>
      <c r="N174" s="158"/>
    </row>
    <row r="175" customHeight="1" spans="1:14">
      <c r="A175" s="117"/>
      <c r="B175" s="74"/>
      <c r="C175" s="75"/>
      <c r="D175" s="76"/>
      <c r="E175" s="78"/>
      <c r="F175" s="79">
        <f t="shared" si="0"/>
        <v>261.379999999996</v>
      </c>
      <c r="G175" s="110"/>
      <c r="H175" s="110"/>
      <c r="I175" s="110"/>
      <c r="J175" s="110"/>
      <c r="K175" s="110"/>
      <c r="L175" s="110"/>
      <c r="M175" s="110"/>
      <c r="N175" s="110"/>
    </row>
    <row r="176" customHeight="1" spans="1:14">
      <c r="A176" s="117"/>
      <c r="B176" s="74"/>
      <c r="C176" s="75"/>
      <c r="D176" s="76"/>
      <c r="E176" s="78"/>
      <c r="F176" s="79">
        <f t="shared" si="0"/>
        <v>261.379999999996</v>
      </c>
      <c r="G176" s="110"/>
      <c r="H176" s="110"/>
      <c r="I176" s="110"/>
      <c r="J176" s="110"/>
      <c r="K176" s="110"/>
      <c r="L176" s="110"/>
      <c r="M176" s="110"/>
      <c r="N176" s="110"/>
    </row>
    <row r="177" customHeight="1" spans="1:14">
      <c r="A177" s="117"/>
      <c r="B177" s="74"/>
      <c r="C177" s="75"/>
      <c r="D177" s="76"/>
      <c r="E177" s="78"/>
      <c r="F177" s="79">
        <f t="shared" si="0"/>
        <v>261.379999999996</v>
      </c>
      <c r="G177" s="110"/>
      <c r="H177" s="110"/>
      <c r="I177" s="110"/>
      <c r="J177" s="110"/>
      <c r="K177" s="110"/>
      <c r="L177" s="110"/>
      <c r="M177" s="110"/>
      <c r="N177" s="110"/>
    </row>
    <row r="178" customHeight="1" spans="1:14">
      <c r="A178" s="117"/>
      <c r="B178" s="74"/>
      <c r="C178" s="75"/>
      <c r="D178" s="76"/>
      <c r="E178" s="78"/>
      <c r="F178" s="79">
        <f t="shared" si="0"/>
        <v>261.379999999996</v>
      </c>
      <c r="G178" s="110"/>
      <c r="H178" s="110"/>
      <c r="I178" s="110"/>
      <c r="J178" s="110"/>
      <c r="K178" s="110"/>
      <c r="L178" s="110"/>
      <c r="M178" s="110"/>
      <c r="N178" s="110"/>
    </row>
    <row r="179" customHeight="1" spans="1:14">
      <c r="A179" s="117"/>
      <c r="B179" s="74"/>
      <c r="C179" s="75"/>
      <c r="D179" s="76"/>
      <c r="E179" s="78"/>
      <c r="F179" s="79">
        <f t="shared" si="0"/>
        <v>261.379999999996</v>
      </c>
      <c r="G179" s="110"/>
      <c r="H179" s="110"/>
      <c r="I179" s="110"/>
      <c r="J179" s="110"/>
      <c r="K179" s="110"/>
      <c r="L179" s="110"/>
      <c r="M179" s="110"/>
      <c r="N179" s="110"/>
    </row>
    <row r="180" customHeight="1" spans="1:14">
      <c r="A180" s="117"/>
      <c r="B180" s="74"/>
      <c r="C180" s="75"/>
      <c r="D180" s="76"/>
      <c r="E180" s="78"/>
      <c r="F180" s="79">
        <f t="shared" si="0"/>
        <v>261.379999999996</v>
      </c>
      <c r="G180" s="77"/>
      <c r="H180" s="77"/>
      <c r="I180" s="77"/>
      <c r="J180" s="77"/>
      <c r="K180" s="77"/>
      <c r="L180" s="110"/>
      <c r="M180" s="77"/>
      <c r="N180" s="77"/>
    </row>
    <row r="181" customHeight="1" spans="1:14">
      <c r="A181" s="117"/>
      <c r="B181" s="74"/>
      <c r="C181" s="75"/>
      <c r="D181" s="76"/>
      <c r="E181" s="78"/>
      <c r="F181" s="79">
        <f t="shared" si="0"/>
        <v>261.379999999996</v>
      </c>
      <c r="G181" s="110"/>
      <c r="H181" s="110"/>
      <c r="I181" s="110"/>
      <c r="J181" s="110"/>
      <c r="K181" s="110"/>
      <c r="L181" s="110"/>
      <c r="M181" s="110"/>
      <c r="N181" s="110"/>
    </row>
    <row r="182" customHeight="1" spans="1:14">
      <c r="A182" s="117"/>
      <c r="B182" s="74"/>
      <c r="C182" s="75"/>
      <c r="D182" s="76"/>
      <c r="E182" s="78"/>
      <c r="F182" s="79">
        <f t="shared" si="0"/>
        <v>261.379999999996</v>
      </c>
      <c r="G182" s="110"/>
      <c r="H182" s="110"/>
      <c r="I182" s="110"/>
      <c r="J182" s="110"/>
      <c r="K182" s="110"/>
      <c r="L182" s="110"/>
      <c r="M182" s="110"/>
      <c r="N182" s="110"/>
    </row>
    <row r="183" customHeight="1" spans="1:14">
      <c r="A183" s="117"/>
      <c r="B183" s="74"/>
      <c r="C183" s="75"/>
      <c r="D183" s="76"/>
      <c r="E183" s="78"/>
      <c r="F183" s="79">
        <f t="shared" si="0"/>
        <v>261.379999999996</v>
      </c>
      <c r="G183" s="110"/>
      <c r="H183" s="110"/>
      <c r="I183" s="110"/>
      <c r="J183" s="110"/>
      <c r="K183" s="110"/>
      <c r="L183" s="110"/>
      <c r="M183" s="110"/>
      <c r="N183" s="110"/>
    </row>
    <row r="184" customHeight="1" spans="1:14">
      <c r="A184" s="117"/>
      <c r="B184" s="74"/>
      <c r="C184" s="75"/>
      <c r="D184" s="76"/>
      <c r="E184" s="78"/>
      <c r="F184" s="79">
        <f t="shared" si="0"/>
        <v>261.379999999996</v>
      </c>
      <c r="G184" s="110"/>
      <c r="H184" s="110"/>
      <c r="I184" s="110"/>
      <c r="J184" s="110"/>
      <c r="K184" s="110"/>
      <c r="L184" s="110"/>
      <c r="M184" s="110"/>
      <c r="N184" s="110"/>
    </row>
    <row r="185" customHeight="1" spans="1:14">
      <c r="A185" s="117"/>
      <c r="B185" s="74"/>
      <c r="C185" s="75"/>
      <c r="D185" s="76"/>
      <c r="E185" s="78"/>
      <c r="F185" s="79">
        <f t="shared" si="0"/>
        <v>261.379999999996</v>
      </c>
      <c r="G185" s="110"/>
      <c r="H185" s="110"/>
      <c r="I185" s="110"/>
      <c r="J185" s="110"/>
      <c r="K185" s="110"/>
      <c r="L185" s="110"/>
      <c r="M185" s="110"/>
      <c r="N185" s="110"/>
    </row>
    <row r="186" customHeight="1" spans="1:14">
      <c r="A186" s="117"/>
      <c r="B186" s="74"/>
      <c r="C186" s="75"/>
      <c r="D186" s="76"/>
      <c r="E186" s="78"/>
      <c r="F186" s="79">
        <f t="shared" si="0"/>
        <v>261.379999999996</v>
      </c>
      <c r="G186" s="110"/>
      <c r="H186" s="110"/>
      <c r="I186" s="110"/>
      <c r="J186" s="110"/>
      <c r="K186" s="110"/>
      <c r="L186" s="110"/>
      <c r="M186" s="110"/>
      <c r="N186" s="110"/>
    </row>
    <row r="187" customHeight="1" spans="1:14">
      <c r="A187" s="117"/>
      <c r="B187" s="74"/>
      <c r="C187" s="75"/>
      <c r="D187" s="76"/>
      <c r="E187" s="78"/>
      <c r="F187" s="79">
        <f t="shared" si="0"/>
        <v>261.379999999996</v>
      </c>
      <c r="G187" s="110"/>
      <c r="H187" s="110"/>
      <c r="I187" s="110"/>
      <c r="J187" s="110"/>
      <c r="K187" s="110"/>
      <c r="L187" s="110"/>
      <c r="M187" s="110"/>
      <c r="N187" s="110"/>
    </row>
    <row r="188" customHeight="1" spans="1:14">
      <c r="A188" s="117"/>
      <c r="B188" s="74"/>
      <c r="C188" s="75"/>
      <c r="D188" s="76"/>
      <c r="E188" s="78"/>
      <c r="F188" s="79">
        <f t="shared" si="0"/>
        <v>261.379999999996</v>
      </c>
      <c r="G188" s="110"/>
      <c r="H188" s="110"/>
      <c r="I188" s="110"/>
      <c r="J188" s="110"/>
      <c r="K188" s="110"/>
      <c r="L188" s="110"/>
      <c r="M188" s="110"/>
      <c r="N188" s="110"/>
    </row>
    <row r="189" customHeight="1" spans="1:14">
      <c r="A189" s="117"/>
      <c r="B189" s="74"/>
      <c r="C189" s="75"/>
      <c r="D189" s="76"/>
      <c r="E189" s="78"/>
      <c r="F189" s="79">
        <f t="shared" si="0"/>
        <v>261.379999999996</v>
      </c>
      <c r="G189" s="110"/>
      <c r="H189" s="110"/>
      <c r="I189" s="110"/>
      <c r="J189" s="110"/>
      <c r="K189" s="110"/>
      <c r="L189" s="110"/>
      <c r="M189" s="110"/>
      <c r="N189" s="110"/>
    </row>
    <row r="190" customHeight="1" spans="1:14">
      <c r="A190" s="117"/>
      <c r="B190" s="74"/>
      <c r="C190" s="75"/>
      <c r="D190" s="76"/>
      <c r="E190" s="78"/>
      <c r="F190" s="79">
        <f t="shared" si="0"/>
        <v>261.379999999996</v>
      </c>
      <c r="G190" s="110"/>
      <c r="H190" s="110"/>
      <c r="I190" s="110"/>
      <c r="J190" s="110"/>
      <c r="K190" s="110"/>
      <c r="L190" s="110"/>
      <c r="M190" s="110"/>
      <c r="N190" s="110"/>
    </row>
    <row r="191" customHeight="1" spans="1:14">
      <c r="A191" s="117"/>
      <c r="B191" s="74"/>
      <c r="C191" s="75"/>
      <c r="D191" s="76"/>
      <c r="E191" s="78"/>
      <c r="F191" s="79">
        <f t="shared" si="0"/>
        <v>261.379999999996</v>
      </c>
      <c r="G191" s="110"/>
      <c r="H191" s="110"/>
      <c r="I191" s="110"/>
      <c r="J191" s="110"/>
      <c r="K191" s="110"/>
      <c r="L191" s="110"/>
      <c r="M191" s="110"/>
      <c r="N191" s="110"/>
    </row>
    <row r="192" customHeight="1" spans="1:14">
      <c r="A192" s="117"/>
      <c r="B192" s="74"/>
      <c r="C192" s="75"/>
      <c r="D192" s="76"/>
      <c r="E192" s="78"/>
      <c r="F192" s="79">
        <f t="shared" si="0"/>
        <v>261.379999999996</v>
      </c>
      <c r="G192" s="110"/>
      <c r="H192" s="110"/>
      <c r="I192" s="110"/>
      <c r="J192" s="110"/>
      <c r="K192" s="110"/>
      <c r="L192" s="110"/>
      <c r="M192" s="110"/>
      <c r="N192" s="110"/>
    </row>
    <row r="193" customHeight="1" spans="1:14">
      <c r="A193" s="117"/>
      <c r="B193" s="74"/>
      <c r="C193" s="75"/>
      <c r="D193" s="76"/>
      <c r="E193" s="78"/>
      <c r="F193" s="79">
        <f t="shared" si="0"/>
        <v>261.379999999996</v>
      </c>
      <c r="G193" s="110"/>
      <c r="H193" s="110"/>
      <c r="I193" s="110"/>
      <c r="J193" s="110"/>
      <c r="K193" s="110"/>
      <c r="L193" s="110"/>
      <c r="M193" s="110"/>
      <c r="N193" s="110"/>
    </row>
    <row r="194" customHeight="1" spans="1:14">
      <c r="A194" s="117"/>
      <c r="B194" s="74"/>
      <c r="C194" s="75"/>
      <c r="D194" s="76"/>
      <c r="E194" s="78"/>
      <c r="F194" s="79">
        <f t="shared" si="0"/>
        <v>261.379999999996</v>
      </c>
      <c r="G194" s="110"/>
      <c r="H194" s="110"/>
      <c r="I194" s="110"/>
      <c r="J194" s="110"/>
      <c r="K194" s="110"/>
      <c r="L194" s="110"/>
      <c r="M194" s="110"/>
      <c r="N194" s="110"/>
    </row>
    <row r="195" customHeight="1" spans="1:14">
      <c r="A195" s="117"/>
      <c r="B195" s="74"/>
      <c r="C195" s="75"/>
      <c r="D195" s="76"/>
      <c r="E195" s="78"/>
      <c r="F195" s="79">
        <f t="shared" si="0"/>
        <v>261.379999999996</v>
      </c>
      <c r="G195" s="110"/>
      <c r="H195" s="110"/>
      <c r="I195" s="110"/>
      <c r="J195" s="110"/>
      <c r="K195" s="110"/>
      <c r="L195" s="110"/>
      <c r="M195" s="110"/>
      <c r="N195" s="110"/>
    </row>
    <row r="196" customHeight="1" spans="1:14">
      <c r="A196" s="117"/>
      <c r="B196" s="74"/>
      <c r="C196" s="75"/>
      <c r="D196" s="76"/>
      <c r="E196" s="78"/>
      <c r="F196" s="79">
        <f t="shared" si="0"/>
        <v>261.379999999996</v>
      </c>
      <c r="G196" s="110"/>
      <c r="H196" s="110"/>
      <c r="I196" s="110"/>
      <c r="J196" s="110"/>
      <c r="K196" s="110"/>
      <c r="L196" s="110"/>
      <c r="M196" s="110"/>
      <c r="N196" s="110"/>
    </row>
    <row r="197" customHeight="1" spans="1:14">
      <c r="A197" s="117"/>
      <c r="B197" s="74"/>
      <c r="C197" s="75"/>
      <c r="D197" s="76"/>
      <c r="E197" s="78"/>
      <c r="F197" s="79">
        <f t="shared" si="0"/>
        <v>261.379999999996</v>
      </c>
      <c r="G197" s="110"/>
      <c r="H197" s="110"/>
      <c r="I197" s="110"/>
      <c r="J197" s="110"/>
      <c r="K197" s="110"/>
      <c r="L197" s="110"/>
      <c r="M197" s="110"/>
      <c r="N197" s="110"/>
    </row>
    <row r="198" customHeight="1" spans="1:14">
      <c r="A198" s="117"/>
      <c r="B198" s="74"/>
      <c r="C198" s="75"/>
      <c r="D198" s="76"/>
      <c r="E198" s="78"/>
      <c r="F198" s="79">
        <f t="shared" si="0"/>
        <v>261.379999999996</v>
      </c>
      <c r="G198" s="110"/>
      <c r="H198" s="110"/>
      <c r="I198" s="110"/>
      <c r="J198" s="110"/>
      <c r="K198" s="110"/>
      <c r="L198" s="110"/>
      <c r="M198" s="110"/>
      <c r="N198" s="110"/>
    </row>
    <row r="199" customHeight="1" spans="1:14">
      <c r="A199" s="117"/>
      <c r="B199" s="74"/>
      <c r="C199" s="75"/>
      <c r="D199" s="76"/>
      <c r="E199" s="78"/>
      <c r="F199" s="79">
        <f t="shared" si="0"/>
        <v>261.379999999996</v>
      </c>
      <c r="G199" s="110"/>
      <c r="H199" s="110"/>
      <c r="I199" s="110"/>
      <c r="J199" s="110"/>
      <c r="K199" s="110"/>
      <c r="L199" s="110"/>
      <c r="M199" s="110"/>
      <c r="N199" s="110"/>
    </row>
    <row r="200" customHeight="1" spans="1:14">
      <c r="A200" s="117"/>
      <c r="B200" s="74"/>
      <c r="C200" s="75"/>
      <c r="D200" s="76"/>
      <c r="E200" s="78"/>
      <c r="F200" s="79">
        <f t="shared" si="0"/>
        <v>261.379999999996</v>
      </c>
      <c r="G200" s="110"/>
      <c r="H200" s="110"/>
      <c r="I200" s="110"/>
      <c r="J200" s="110"/>
      <c r="K200" s="110"/>
      <c r="L200" s="110"/>
      <c r="M200" s="110"/>
      <c r="N200" s="110"/>
    </row>
    <row r="201" customHeight="1" spans="1:14">
      <c r="A201" s="117"/>
      <c r="B201" s="74"/>
      <c r="C201" s="75"/>
      <c r="D201" s="76"/>
      <c r="E201" s="78"/>
      <c r="F201" s="79">
        <f t="shared" si="0"/>
        <v>261.379999999996</v>
      </c>
      <c r="G201" s="110"/>
      <c r="H201" s="110"/>
      <c r="I201" s="110"/>
      <c r="J201" s="110"/>
      <c r="K201" s="110"/>
      <c r="L201" s="110"/>
      <c r="M201" s="110"/>
      <c r="N201" s="110"/>
    </row>
    <row r="202" customHeight="1" spans="1:14">
      <c r="A202" s="117"/>
      <c r="B202" s="74"/>
      <c r="C202" s="75"/>
      <c r="D202" s="76"/>
      <c r="E202" s="78"/>
      <c r="F202" s="79">
        <f t="shared" si="0"/>
        <v>261.379999999996</v>
      </c>
      <c r="G202" s="110"/>
      <c r="H202" s="110"/>
      <c r="I202" s="110"/>
      <c r="J202" s="110"/>
      <c r="K202" s="110"/>
      <c r="L202" s="110"/>
      <c r="M202" s="110"/>
      <c r="N202" s="110"/>
    </row>
    <row r="203" customHeight="1" spans="1:14">
      <c r="A203" s="117"/>
      <c r="B203" s="74"/>
      <c r="C203" s="75"/>
      <c r="D203" s="76"/>
      <c r="E203" s="78"/>
      <c r="F203" s="79">
        <f t="shared" si="0"/>
        <v>261.379999999996</v>
      </c>
      <c r="G203" s="110"/>
      <c r="H203" s="110"/>
      <c r="I203" s="110"/>
      <c r="J203" s="110"/>
      <c r="K203" s="110"/>
      <c r="L203" s="110"/>
      <c r="M203" s="110"/>
      <c r="N203" s="110"/>
    </row>
    <row r="204" customHeight="1" spans="1:14">
      <c r="A204" s="117"/>
      <c r="B204" s="74"/>
      <c r="C204" s="75"/>
      <c r="D204" s="76"/>
      <c r="E204" s="78"/>
      <c r="F204" s="79">
        <f t="shared" si="0"/>
        <v>261.379999999996</v>
      </c>
      <c r="G204" s="110"/>
      <c r="H204" s="110"/>
      <c r="I204" s="110"/>
      <c r="J204" s="110"/>
      <c r="K204" s="110"/>
      <c r="L204" s="110"/>
      <c r="M204" s="110"/>
      <c r="N204" s="110"/>
    </row>
    <row r="205" customHeight="1" spans="1:14">
      <c r="A205" s="117"/>
      <c r="B205" s="74"/>
      <c r="C205" s="75"/>
      <c r="D205" s="76"/>
      <c r="E205" s="78"/>
      <c r="F205" s="79">
        <f t="shared" si="0"/>
        <v>261.379999999996</v>
      </c>
      <c r="G205" s="110"/>
      <c r="H205" s="110"/>
      <c r="I205" s="110"/>
      <c r="J205" s="110"/>
      <c r="K205" s="110"/>
      <c r="L205" s="110"/>
      <c r="M205" s="110"/>
      <c r="N205" s="110"/>
    </row>
    <row r="206" customHeight="1" spans="1:14">
      <c r="A206" s="117"/>
      <c r="B206" s="74"/>
      <c r="C206" s="75"/>
      <c r="D206" s="76"/>
      <c r="E206" s="78"/>
      <c r="F206" s="79">
        <f t="shared" si="0"/>
        <v>261.379999999996</v>
      </c>
      <c r="G206" s="110"/>
      <c r="H206" s="110"/>
      <c r="I206" s="110"/>
      <c r="J206" s="110"/>
      <c r="K206" s="110"/>
      <c r="L206" s="110"/>
      <c r="M206" s="110"/>
      <c r="N206" s="110"/>
    </row>
    <row r="207" customHeight="1" spans="1:14">
      <c r="A207" s="117"/>
      <c r="B207" s="74"/>
      <c r="C207" s="75"/>
      <c r="D207" s="76"/>
      <c r="E207" s="78"/>
      <c r="F207" s="79">
        <f t="shared" si="0"/>
        <v>261.379999999996</v>
      </c>
      <c r="G207" s="110"/>
      <c r="H207" s="110"/>
      <c r="I207" s="110"/>
      <c r="J207" s="110"/>
      <c r="K207" s="110"/>
      <c r="L207" s="110"/>
      <c r="M207" s="110"/>
      <c r="N207" s="110"/>
    </row>
    <row r="208" customHeight="1" spans="1:14">
      <c r="A208" s="117"/>
      <c r="B208" s="74"/>
      <c r="C208" s="75"/>
      <c r="D208" s="76"/>
      <c r="E208" s="78"/>
      <c r="F208" s="79">
        <f t="shared" si="0"/>
        <v>261.379999999996</v>
      </c>
      <c r="G208" s="110"/>
      <c r="H208" s="110"/>
      <c r="I208" s="110"/>
      <c r="J208" s="110"/>
      <c r="K208" s="110"/>
      <c r="L208" s="110"/>
      <c r="M208" s="110"/>
      <c r="N208" s="110"/>
    </row>
    <row r="209" customHeight="1" spans="1:14">
      <c r="A209" s="117"/>
      <c r="B209" s="74"/>
      <c r="C209" s="75"/>
      <c r="D209" s="76"/>
      <c r="E209" s="78"/>
      <c r="F209" s="79">
        <f t="shared" si="0"/>
        <v>261.379999999996</v>
      </c>
      <c r="G209" s="110"/>
      <c r="H209" s="110"/>
      <c r="I209" s="110"/>
      <c r="J209" s="110"/>
      <c r="K209" s="110"/>
      <c r="L209" s="110"/>
      <c r="M209" s="110"/>
      <c r="N209" s="110"/>
    </row>
    <row r="210" customHeight="1" spans="1:14">
      <c r="A210" s="117"/>
      <c r="B210" s="74"/>
      <c r="C210" s="75"/>
      <c r="D210" s="76"/>
      <c r="E210" s="78"/>
      <c r="F210" s="79">
        <f t="shared" si="0"/>
        <v>261.379999999996</v>
      </c>
      <c r="G210" s="110"/>
      <c r="H210" s="110"/>
      <c r="I210" s="110"/>
      <c r="J210" s="110"/>
      <c r="K210" s="110"/>
      <c r="L210" s="110"/>
      <c r="M210" s="110"/>
      <c r="N210" s="110"/>
    </row>
    <row r="211" customHeight="1" spans="1:14">
      <c r="A211" s="117"/>
      <c r="B211" s="74"/>
      <c r="C211" s="75"/>
      <c r="D211" s="76"/>
      <c r="E211" s="78"/>
      <c r="F211" s="79">
        <f t="shared" si="0"/>
        <v>261.379999999996</v>
      </c>
      <c r="G211" s="110"/>
      <c r="H211" s="110"/>
      <c r="I211" s="110"/>
      <c r="J211" s="110"/>
      <c r="K211" s="110"/>
      <c r="L211" s="110"/>
      <c r="M211" s="110"/>
      <c r="N211" s="110"/>
    </row>
    <row r="212" customHeight="1" spans="1:14">
      <c r="A212" s="117"/>
      <c r="B212" s="74"/>
      <c r="C212" s="75"/>
      <c r="D212" s="76"/>
      <c r="E212" s="78"/>
      <c r="F212" s="79">
        <f t="shared" si="0"/>
        <v>261.379999999996</v>
      </c>
      <c r="G212" s="110"/>
      <c r="H212" s="110"/>
      <c r="I212" s="110"/>
      <c r="J212" s="110"/>
      <c r="K212" s="110"/>
      <c r="L212" s="110"/>
      <c r="M212" s="110"/>
      <c r="N212" s="110"/>
    </row>
    <row r="213" customHeight="1" spans="1:14">
      <c r="A213" s="117"/>
      <c r="B213" s="74"/>
      <c r="C213" s="75"/>
      <c r="D213" s="76"/>
      <c r="E213" s="78"/>
      <c r="F213" s="79">
        <f t="shared" si="0"/>
        <v>261.379999999996</v>
      </c>
      <c r="G213" s="110"/>
      <c r="H213" s="110"/>
      <c r="I213" s="110"/>
      <c r="J213" s="110"/>
      <c r="K213" s="110"/>
      <c r="L213" s="110"/>
      <c r="M213" s="110"/>
      <c r="N213" s="110"/>
    </row>
    <row r="214" customHeight="1" spans="1:2">
      <c r="A214" s="47"/>
      <c r="B214" s="48"/>
    </row>
    <row r="215" customHeight="1" spans="1:2">
      <c r="A215" s="47"/>
      <c r="B215" s="48"/>
    </row>
    <row r="216" customHeight="1" spans="1:2">
      <c r="A216" s="47"/>
      <c r="B216" s="48"/>
    </row>
    <row r="217" customHeight="1" spans="1:6">
      <c r="A217" s="67" t="s">
        <v>24</v>
      </c>
      <c r="B217" s="67">
        <v>15000</v>
      </c>
      <c r="D217" s="126" t="s">
        <v>294</v>
      </c>
      <c r="E217" s="126" t="s">
        <v>295</v>
      </c>
      <c r="F217" s="126" t="s">
        <v>15</v>
      </c>
    </row>
    <row r="218" customHeight="1" spans="1:6">
      <c r="A218" s="67" t="s">
        <v>230</v>
      </c>
      <c r="B218" s="67">
        <v>4000</v>
      </c>
      <c r="D218" s="70">
        <f t="shared" ref="D218:E218" si="1">SUM(D3:D213)</f>
        <v>52413.26</v>
      </c>
      <c r="E218" s="70">
        <f t="shared" si="1"/>
        <v>52151.88</v>
      </c>
      <c r="F218" s="70">
        <f>D218-E218</f>
        <v>261.37999999999</v>
      </c>
    </row>
    <row r="219" customHeight="1" spans="1:6">
      <c r="A219" s="47"/>
      <c r="B219" s="48"/>
      <c r="D219" s="52" t="s">
        <v>417</v>
      </c>
      <c r="E219" s="53">
        <f t="shared" ref="E219:E220" si="2">E218-B217</f>
        <v>37151.88</v>
      </c>
      <c r="F219" s="54"/>
    </row>
    <row r="220" customHeight="1" spans="1:6">
      <c r="A220" s="47"/>
      <c r="B220" s="48"/>
      <c r="D220" s="52" t="s">
        <v>497</v>
      </c>
      <c r="E220" s="53">
        <f t="shared" si="2"/>
        <v>33151.88</v>
      </c>
      <c r="F220" s="54"/>
    </row>
    <row r="221" customHeight="1" spans="1:2">
      <c r="A221" s="47"/>
      <c r="B221" s="48"/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13">
      <c r="A224" s="47"/>
      <c r="B224" s="48"/>
      <c r="D224" s="55" t="s">
        <v>27</v>
      </c>
      <c r="E224" s="53">
        <f ca="1">SUMIF(C$3:E$213,"Grocery",E$3:E$213)</f>
        <v>8437</v>
      </c>
      <c r="F224" s="56">
        <f ca="1">SUM(E224:E226)</f>
        <v>13435.68</v>
      </c>
      <c r="K224" s="65"/>
      <c r="L224" s="65"/>
      <c r="M224" s="65"/>
    </row>
    <row r="225" customHeight="1" spans="1:13">
      <c r="A225" s="47"/>
      <c r="B225" s="48"/>
      <c r="D225" s="55" t="s">
        <v>224</v>
      </c>
      <c r="E225" s="53">
        <f ca="1">SUMIF(C$3:E$213,"Snacks",E$3:E$213)</f>
        <v>1956.23</v>
      </c>
      <c r="F225" s="57"/>
      <c r="K225" s="62"/>
      <c r="L225" s="62"/>
      <c r="M225" s="62"/>
    </row>
    <row r="226" customHeight="1" spans="1:13">
      <c r="A226" s="47"/>
      <c r="B226" s="48"/>
      <c r="D226" s="55" t="s">
        <v>299</v>
      </c>
      <c r="E226" s="53">
        <f ca="1">SUMIF(C$3:E$213,"Food",E$3:E$213)</f>
        <v>3042.45</v>
      </c>
      <c r="F226" s="58"/>
      <c r="K226" s="62"/>
      <c r="L226" s="62"/>
      <c r="M226" s="62"/>
    </row>
    <row r="227" customHeight="1" spans="1:13">
      <c r="A227" s="47"/>
      <c r="B227" s="48"/>
      <c r="D227" s="55" t="s">
        <v>245</v>
      </c>
      <c r="E227" s="53">
        <f ca="1">SUMIF(C$3:E$213,"Health",E$3:E$213)</f>
        <v>7709.4</v>
      </c>
      <c r="K227" s="62"/>
      <c r="L227" s="62"/>
      <c r="M227" s="62"/>
    </row>
    <row r="228" customHeight="1" spans="1:13">
      <c r="A228" s="47"/>
      <c r="B228" s="48"/>
      <c r="D228" s="55" t="s">
        <v>54</v>
      </c>
      <c r="E228" s="53">
        <f ca="1">SUMIF(C$3:E$213,"Dress",E$3:E$213)</f>
        <v>579</v>
      </c>
      <c r="F228" s="59"/>
      <c r="G228" s="60"/>
      <c r="K228" s="62"/>
      <c r="L228" s="62"/>
      <c r="M228" s="62"/>
    </row>
    <row r="229" customHeight="1" spans="1:13">
      <c r="A229" s="47"/>
      <c r="B229" s="48"/>
      <c r="D229" s="55" t="s">
        <v>214</v>
      </c>
      <c r="E229" s="53">
        <f ca="1">SUMIF(C$3:E$213,"Home",E$3:E$213)</f>
        <v>19971.9</v>
      </c>
      <c r="K229" s="62"/>
      <c r="L229" s="62"/>
      <c r="M229" s="62"/>
    </row>
    <row r="230" customHeight="1" spans="1:13">
      <c r="A230" s="47"/>
      <c r="B230" s="48"/>
      <c r="D230" s="55" t="s">
        <v>281</v>
      </c>
      <c r="E230" s="53">
        <f ca="1">SUMIF(C$3:E$213,"Tickets",E$3:E$213)</f>
        <v>0</v>
      </c>
      <c r="F230" s="61">
        <f ca="1">SUM(E230:E232)</f>
        <v>4325</v>
      </c>
      <c r="G230" s="62"/>
      <c r="K230" s="62"/>
      <c r="L230" s="62"/>
      <c r="M230" s="62"/>
    </row>
    <row r="231" customHeight="1" spans="1:13">
      <c r="A231" s="47"/>
      <c r="B231" s="48"/>
      <c r="D231" s="55" t="s">
        <v>210</v>
      </c>
      <c r="E231" s="53">
        <f ca="1">SUMIF(C$3:E$213,"Transport",E$3:E$213)</f>
        <v>3715</v>
      </c>
      <c r="F231" s="66"/>
      <c r="H231" s="67" t="s">
        <v>300</v>
      </c>
      <c r="K231" s="62"/>
      <c r="L231" s="62"/>
      <c r="M231" s="62"/>
    </row>
    <row r="232" customHeight="1" spans="1:8">
      <c r="A232" s="47"/>
      <c r="B232" s="48"/>
      <c r="D232" s="55" t="s">
        <v>201</v>
      </c>
      <c r="E232" s="53">
        <f ca="1">SUMIF(C$3:E$213,"Fuel",E$3:E$213)</f>
        <v>610</v>
      </c>
      <c r="F232" s="68"/>
      <c r="H232" s="53">
        <f ca="1">E218-E234</f>
        <v>74</v>
      </c>
    </row>
    <row r="233" customHeight="1" spans="1:5">
      <c r="A233" s="47"/>
      <c r="B233" s="48"/>
      <c r="D233" s="55" t="s">
        <v>219</v>
      </c>
      <c r="E233" s="53">
        <f ca="1">SUMIF(C$3:E$213,"Others",E$3:E$213)</f>
        <v>6056.9</v>
      </c>
    </row>
    <row r="234" customHeight="1" spans="1:13">
      <c r="A234" s="47"/>
      <c r="B234" s="48"/>
      <c r="D234" s="69" t="s">
        <v>7</v>
      </c>
      <c r="E234" s="70">
        <f ca="1">SUM(E224:E233)</f>
        <v>52077.88</v>
      </c>
      <c r="K234" s="71"/>
      <c r="L234" s="72"/>
      <c r="M234" s="72"/>
    </row>
    <row r="235" customHeight="1" spans="1:13">
      <c r="A235" s="47"/>
      <c r="B235" s="48"/>
      <c r="K235" s="71"/>
      <c r="L235" s="72"/>
      <c r="M235" s="72"/>
    </row>
    <row r="236" customHeight="1" spans="1:2">
      <c r="A236" s="47"/>
      <c r="B236" s="48"/>
    </row>
    <row r="237" customHeight="1" spans="1:2">
      <c r="A237" s="47"/>
      <c r="B237" s="48"/>
    </row>
    <row r="238" customHeight="1" spans="1:2">
      <c r="A238" s="47"/>
      <c r="B238" s="48"/>
    </row>
    <row r="239" customHeight="1" spans="1:2">
      <c r="A239" s="47"/>
      <c r="B239" s="48"/>
    </row>
    <row r="240" customHeight="1" spans="1:2">
      <c r="A240" s="47"/>
      <c r="B240" s="48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2">
      <c r="A971" s="47"/>
      <c r="B971" s="48"/>
    </row>
    <row r="972" customHeight="1" spans="1:2">
      <c r="A972" s="47"/>
      <c r="B972" s="48"/>
    </row>
    <row r="973" customHeight="1" spans="1:2">
      <c r="A973" s="47"/>
      <c r="B973" s="48"/>
    </row>
    <row r="974" customHeight="1" spans="1:2">
      <c r="A974" s="47"/>
      <c r="B974" s="48"/>
    </row>
    <row r="975" customHeight="1" spans="1:2">
      <c r="A975" s="47"/>
      <c r="B975" s="48"/>
    </row>
    <row r="976" customHeight="1" spans="1:2">
      <c r="A976" s="47"/>
      <c r="B976" s="48"/>
    </row>
    <row r="977" customHeight="1" spans="1:2">
      <c r="A977" s="47"/>
      <c r="B977" s="48"/>
    </row>
    <row r="978" customHeight="1" spans="1:2">
      <c r="A978" s="47"/>
      <c r="B978" s="48"/>
    </row>
    <row r="979" customHeight="1" spans="1:2">
      <c r="A979" s="47"/>
      <c r="B979" s="48"/>
    </row>
    <row r="980" customHeight="1" spans="1:2">
      <c r="A980" s="47"/>
      <c r="B980" s="48"/>
    </row>
    <row r="981" customHeight="1" spans="1:2">
      <c r="A981" s="47"/>
      <c r="B981" s="48"/>
    </row>
    <row r="982" customHeight="1" spans="1:2">
      <c r="A982" s="47"/>
      <c r="B982" s="48"/>
    </row>
    <row r="983" customHeight="1" spans="1:2">
      <c r="A983" s="47"/>
      <c r="B983" s="48"/>
    </row>
    <row r="984" customHeight="1" spans="1:2">
      <c r="A984" s="47"/>
      <c r="B984" s="48"/>
    </row>
    <row r="985" customHeight="1" spans="1:2">
      <c r="A985" s="47"/>
      <c r="B985" s="48"/>
    </row>
    <row r="986" customHeight="1" spans="1:2">
      <c r="A986" s="47"/>
      <c r="B986" s="48"/>
    </row>
    <row r="987" customHeight="1" spans="1:2">
      <c r="A987" s="47"/>
      <c r="B987" s="48"/>
    </row>
    <row r="988" customHeight="1" spans="1:2">
      <c r="A988" s="47"/>
      <c r="B988" s="48"/>
    </row>
    <row r="989" customHeight="1" spans="1:2">
      <c r="A989" s="47"/>
      <c r="B989" s="48"/>
    </row>
    <row r="990" customHeight="1" spans="1:2">
      <c r="A990" s="47"/>
      <c r="B990" s="48"/>
    </row>
    <row r="991" customHeight="1" spans="1:2">
      <c r="A991" s="47"/>
      <c r="B991" s="48"/>
    </row>
    <row r="992" customHeight="1" spans="1:2">
      <c r="A992" s="47"/>
      <c r="B992" s="48"/>
    </row>
    <row r="993" customHeight="1" spans="1:2">
      <c r="A993" s="47"/>
      <c r="B993" s="48"/>
    </row>
    <row r="994" customHeight="1" spans="1:2">
      <c r="A994" s="47"/>
      <c r="B994" s="48"/>
    </row>
    <row r="995" customHeight="1" spans="1:2">
      <c r="A995" s="47"/>
      <c r="B995" s="48"/>
    </row>
    <row r="996" customHeight="1" spans="1:2">
      <c r="A996" s="47"/>
      <c r="B996" s="48"/>
    </row>
    <row r="997" customHeight="1" spans="1:2">
      <c r="A997" s="47"/>
      <c r="B997" s="48"/>
    </row>
    <row r="998" customHeight="1" spans="1:2">
      <c r="A998" s="47"/>
      <c r="B998" s="48"/>
    </row>
    <row r="999" customHeight="1" spans="1:2">
      <c r="A999" s="47"/>
      <c r="B999" s="48"/>
    </row>
    <row r="1000" customHeight="1" spans="1:2">
      <c r="A1000" s="47"/>
      <c r="B1000" s="48"/>
    </row>
    <row r="1001" customHeight="1" spans="1:2">
      <c r="A1001" s="47"/>
      <c r="B1001" s="48"/>
    </row>
    <row r="1002" customHeight="1" spans="1:2">
      <c r="A1002" s="47"/>
      <c r="B1002" s="48"/>
    </row>
    <row r="1003" customHeight="1" spans="1:2">
      <c r="A1003" s="47"/>
      <c r="B1003" s="48"/>
    </row>
    <row r="1004" customHeight="1" spans="1:2">
      <c r="A1004" s="47"/>
      <c r="B1004" s="48"/>
    </row>
    <row r="1005" customHeight="1" spans="1:2">
      <c r="A1005" s="47"/>
      <c r="B1005" s="48"/>
    </row>
    <row r="1006" customHeight="1" spans="1:2">
      <c r="A1006" s="47"/>
      <c r="B1006" s="48"/>
    </row>
    <row r="1007" customHeight="1" spans="1:2">
      <c r="A1007" s="47"/>
      <c r="B1007" s="48"/>
    </row>
    <row r="1008" customHeight="1" spans="1:2">
      <c r="A1008" s="47"/>
      <c r="B1008" s="48"/>
    </row>
    <row r="1009" customHeight="1" spans="1:2">
      <c r="A1009" s="47"/>
      <c r="B1009" s="48"/>
    </row>
    <row r="1010" customHeight="1" spans="1:2">
      <c r="A1010" s="47"/>
      <c r="B1010" s="48"/>
    </row>
    <row r="1011" customHeight="1" spans="1:2">
      <c r="A1011" s="47"/>
      <c r="B1011" s="48"/>
    </row>
    <row r="1012" customHeight="1" spans="1:2">
      <c r="A1012" s="47"/>
      <c r="B1012" s="48"/>
    </row>
    <row r="1013" customHeight="1" spans="1:2">
      <c r="A1013" s="47"/>
      <c r="B1013" s="48"/>
    </row>
    <row r="1014" customHeight="1" spans="1:1">
      <c r="A1014" s="47"/>
    </row>
    <row r="1015" customHeight="1" spans="1:1">
      <c r="A1015" s="47"/>
    </row>
    <row r="1016" customHeight="1" spans="1:1">
      <c r="A1016" s="47"/>
    </row>
    <row r="1017" customHeight="1" spans="1:1">
      <c r="A1017" s="47"/>
    </row>
    <row r="1018" customHeight="1" spans="1:1">
      <c r="A1018" s="47"/>
    </row>
    <row r="1019" customHeight="1" spans="1:1">
      <c r="A1019" s="47"/>
    </row>
    <row r="1020" customHeight="1" spans="1:1">
      <c r="A1020" s="47"/>
    </row>
    <row r="1021" customHeight="1" spans="1:1">
      <c r="A1021" s="47"/>
    </row>
    <row r="1022" customHeight="1" spans="1:1">
      <c r="A1022" s="47"/>
    </row>
    <row r="1023" customHeight="1" spans="1:1">
      <c r="A1023" s="47"/>
    </row>
    <row r="1024" customHeight="1" spans="1:1">
      <c r="A1024" s="47"/>
    </row>
    <row r="1025" customHeight="1" spans="1:1">
      <c r="A1025" s="47"/>
    </row>
    <row r="1026" customHeight="1" spans="1:1">
      <c r="A1026" s="47"/>
    </row>
    <row r="1027" customHeight="1" spans="1:1">
      <c r="A1027" s="47"/>
    </row>
    <row r="1028" customHeight="1" spans="1:1">
      <c r="A1028" s="47"/>
    </row>
    <row r="1029" customHeight="1" spans="1:1">
      <c r="A1029" s="47"/>
    </row>
    <row r="1030" customHeight="1" spans="1:1">
      <c r="A1030" s="47"/>
    </row>
    <row r="1031" customHeight="1" spans="1:1">
      <c r="A1031" s="47"/>
    </row>
    <row r="1032" customHeight="1" spans="1:1">
      <c r="A1032" s="47"/>
    </row>
    <row r="1033" customHeight="1" spans="1:1">
      <c r="A1033" s="47"/>
    </row>
    <row r="1034" customHeight="1" spans="1:1">
      <c r="A1034" s="47"/>
    </row>
    <row r="1035" customHeight="1" spans="1:1">
      <c r="A1035" s="47"/>
    </row>
    <row r="1036" customHeight="1" spans="1:1">
      <c r="A1036" s="47"/>
    </row>
    <row r="1037" customHeight="1" spans="1:1">
      <c r="A1037" s="47"/>
    </row>
    <row r="1038" customHeight="1" spans="1:1">
      <c r="A1038" s="47"/>
    </row>
    <row r="1039" customHeight="1" spans="1:1">
      <c r="A1039" s="47"/>
    </row>
    <row r="1040" customHeight="1" spans="1:1">
      <c r="A1040" s="47"/>
    </row>
    <row r="1041" customHeight="1" spans="1:1">
      <c r="A1041" s="47"/>
    </row>
    <row r="1042" customHeight="1" spans="1:1">
      <c r="A1042" s="47"/>
    </row>
    <row r="1043" customHeight="1" spans="1:1">
      <c r="A1043" s="47"/>
    </row>
    <row r="1044" customHeight="1" spans="1:1">
      <c r="A1044" s="47"/>
    </row>
    <row r="1045" customHeight="1" spans="1:1">
      <c r="A1045" s="47"/>
    </row>
    <row r="1046" customHeight="1" spans="1:1">
      <c r="A1046" s="47"/>
    </row>
    <row r="1047" customHeight="1" spans="1:1">
      <c r="A1047" s="47"/>
    </row>
    <row r="1048" customHeight="1" spans="1:1">
      <c r="A1048" s="47"/>
    </row>
    <row r="1049" customHeight="1" spans="1:1">
      <c r="A1049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224:F226"/>
    <mergeCell ref="F230:F232"/>
    <mergeCell ref="G1:G2"/>
    <mergeCell ref="H1:H2"/>
    <mergeCell ref="I1:I2"/>
    <mergeCell ref="J1:J2"/>
    <mergeCell ref="K1:K2"/>
    <mergeCell ref="L1:L2"/>
  </mergeCells>
  <conditionalFormatting sqref="G133:G134 G144 G162">
    <cfRule type="expression" dxfId="0" priority="1">
      <formula>"F56"</formula>
    </cfRule>
  </conditionalFormatting>
  <dataValidations count="1">
    <dataValidation type="list" allowBlank="1" showErrorMessage="1" sqref="C3:C213">
      <formula1>"Home,Food,Grocery,Snacks,Health,Transport,Fuel,Tickets,Dress,Others"</formula1>
    </dataValidation>
  </dataValidation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54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6" t="s">
        <v>926</v>
      </c>
      <c r="B3" s="7" t="s">
        <v>6</v>
      </c>
      <c r="C3" s="8"/>
      <c r="D3" s="9">
        <v>261.379999999996</v>
      </c>
      <c r="E3" s="10"/>
      <c r="F3" s="11">
        <f>D3-E3</f>
        <v>261.379999999996</v>
      </c>
      <c r="G3" s="12"/>
      <c r="H3" s="13"/>
      <c r="I3" s="13"/>
      <c r="J3" s="13"/>
      <c r="K3" s="13"/>
      <c r="L3" s="13"/>
      <c r="M3" s="13"/>
      <c r="N3" s="13"/>
    </row>
    <row r="4" customHeight="1" spans="1:14">
      <c r="A4" s="14"/>
      <c r="B4" s="7" t="s">
        <v>74</v>
      </c>
      <c r="C4" s="8"/>
      <c r="D4" s="9">
        <v>35279</v>
      </c>
      <c r="E4" s="10"/>
      <c r="F4" s="11">
        <f t="shared" ref="F4:F218" si="0">(D4-E4)+F3</f>
        <v>35540.38</v>
      </c>
      <c r="G4" s="15"/>
      <c r="H4" s="15"/>
      <c r="I4" s="15"/>
      <c r="J4" s="15"/>
      <c r="K4" s="15"/>
      <c r="L4" s="15"/>
      <c r="M4" s="15"/>
      <c r="N4" s="15"/>
    </row>
    <row r="5" customHeight="1" spans="1:14">
      <c r="A5" s="6"/>
      <c r="B5" s="7" t="s">
        <v>500</v>
      </c>
      <c r="C5" s="8"/>
      <c r="D5" s="9">
        <v>12000</v>
      </c>
      <c r="E5" s="10"/>
      <c r="F5" s="11">
        <f t="shared" si="0"/>
        <v>47540.38</v>
      </c>
      <c r="G5" s="15"/>
      <c r="H5" s="15"/>
      <c r="I5" s="15"/>
      <c r="J5" s="15"/>
      <c r="K5" s="15"/>
      <c r="L5" s="15"/>
      <c r="M5" s="15"/>
      <c r="N5" s="15"/>
    </row>
    <row r="6" customHeight="1" spans="1:14">
      <c r="A6" s="6"/>
      <c r="B6" s="7" t="s">
        <v>927</v>
      </c>
      <c r="C6" s="8"/>
      <c r="D6" s="9">
        <v>12000</v>
      </c>
      <c r="E6" s="10"/>
      <c r="F6" s="11">
        <f t="shared" si="0"/>
        <v>59540.38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/>
      <c r="B7" s="7" t="s">
        <v>928</v>
      </c>
      <c r="C7" s="8" t="s">
        <v>54</v>
      </c>
      <c r="D7" s="9"/>
      <c r="E7" s="10">
        <v>750</v>
      </c>
      <c r="F7" s="11">
        <f t="shared" si="0"/>
        <v>58790.38</v>
      </c>
      <c r="G7" s="15"/>
      <c r="H7" s="20"/>
      <c r="I7" s="20"/>
      <c r="J7" s="20"/>
      <c r="K7" s="20"/>
      <c r="L7" s="20"/>
      <c r="M7" s="20"/>
      <c r="N7" s="20"/>
    </row>
    <row r="8" customHeight="1" spans="1:14">
      <c r="A8" s="6"/>
      <c r="B8" s="7" t="s">
        <v>929</v>
      </c>
      <c r="C8" s="8" t="s">
        <v>214</v>
      </c>
      <c r="D8" s="9"/>
      <c r="E8" s="10">
        <f>55+34+99+80+331+55+170+90+35+10</f>
        <v>959</v>
      </c>
      <c r="F8" s="11">
        <f t="shared" si="0"/>
        <v>57831.38</v>
      </c>
      <c r="G8" s="15"/>
      <c r="H8" s="20"/>
      <c r="I8" s="20"/>
      <c r="J8" s="20"/>
      <c r="K8" s="20"/>
      <c r="L8" s="20"/>
      <c r="M8" s="20"/>
      <c r="N8" s="20"/>
    </row>
    <row r="9" customHeight="1" spans="1:14">
      <c r="A9" s="6"/>
      <c r="B9" s="7" t="s">
        <v>34</v>
      </c>
      <c r="C9" s="8" t="s">
        <v>224</v>
      </c>
      <c r="D9" s="9"/>
      <c r="E9" s="10">
        <f>23+70+80</f>
        <v>173</v>
      </c>
      <c r="F9" s="11">
        <f t="shared" si="0"/>
        <v>57658.38</v>
      </c>
      <c r="G9" s="20"/>
      <c r="H9" s="20"/>
      <c r="J9" s="20"/>
      <c r="K9" s="20"/>
      <c r="L9" s="20"/>
      <c r="M9" s="20"/>
      <c r="N9" s="20"/>
    </row>
    <row r="10" customHeight="1" spans="1:14">
      <c r="A10" s="6"/>
      <c r="B10" s="7" t="s">
        <v>27</v>
      </c>
      <c r="C10" s="8" t="s">
        <v>27</v>
      </c>
      <c r="D10" s="9"/>
      <c r="E10" s="10">
        <f>76+22</f>
        <v>98</v>
      </c>
      <c r="F10" s="11">
        <f t="shared" si="0"/>
        <v>57560.38</v>
      </c>
      <c r="G10" s="11"/>
      <c r="H10" s="20"/>
      <c r="J10" s="20"/>
      <c r="K10" s="20"/>
      <c r="L10" s="20"/>
      <c r="M10" s="20"/>
      <c r="N10" s="20"/>
    </row>
    <row r="11" customHeight="1" spans="1:14">
      <c r="A11" s="6"/>
      <c r="B11" s="7" t="s">
        <v>531</v>
      </c>
      <c r="C11" s="8" t="s">
        <v>224</v>
      </c>
      <c r="D11" s="9"/>
      <c r="E11" s="10">
        <v>30</v>
      </c>
      <c r="F11" s="11">
        <f t="shared" si="0"/>
        <v>57530.38</v>
      </c>
      <c r="G11" s="20">
        <f>G12-F12</f>
        <v>0</v>
      </c>
      <c r="H11" s="20"/>
      <c r="J11" s="20"/>
      <c r="K11" s="20"/>
      <c r="L11" s="20"/>
      <c r="M11" s="20"/>
      <c r="N11" s="20"/>
    </row>
    <row r="12" customHeight="1" spans="1:14">
      <c r="A12" s="6"/>
      <c r="B12" s="7" t="s">
        <v>792</v>
      </c>
      <c r="C12" s="8" t="s">
        <v>201</v>
      </c>
      <c r="D12" s="9"/>
      <c r="E12" s="10">
        <v>200</v>
      </c>
      <c r="F12" s="11">
        <f t="shared" si="0"/>
        <v>57330.38</v>
      </c>
      <c r="G12" s="11">
        <f>H12+I12+J12+K12+L12+M12+N12</f>
        <v>57330.38</v>
      </c>
      <c r="H12" s="20">
        <v>0</v>
      </c>
      <c r="I12">
        <v>11861.64</v>
      </c>
      <c r="J12" s="20">
        <v>10020</v>
      </c>
      <c r="K12" s="20">
        <v>0</v>
      </c>
      <c r="L12" s="20">
        <v>35125.74</v>
      </c>
      <c r="M12" s="20">
        <v>0</v>
      </c>
      <c r="N12" s="20">
        <f>170+50+80+10+8+5</f>
        <v>323</v>
      </c>
    </row>
    <row r="13" customHeight="1" spans="1:14">
      <c r="A13" s="22" t="s">
        <v>930</v>
      </c>
      <c r="B13" s="23" t="s">
        <v>230</v>
      </c>
      <c r="C13" s="24"/>
      <c r="D13" s="25"/>
      <c r="E13" s="26">
        <v>4000</v>
      </c>
      <c r="F13" s="27">
        <f t="shared" si="0"/>
        <v>53330.38</v>
      </c>
      <c r="G13" s="63"/>
      <c r="H13" s="63"/>
      <c r="I13" s="63"/>
      <c r="J13" s="63"/>
      <c r="K13" s="63"/>
      <c r="L13" s="63"/>
      <c r="M13" s="63"/>
      <c r="N13" s="63"/>
    </row>
    <row r="14" customHeight="1" spans="1:14">
      <c r="A14" s="6"/>
      <c r="B14" s="7" t="s">
        <v>24</v>
      </c>
      <c r="C14" s="8" t="s">
        <v>214</v>
      </c>
      <c r="D14" s="9"/>
      <c r="E14" s="10">
        <v>15000</v>
      </c>
      <c r="F14" s="11">
        <f t="shared" si="0"/>
        <v>38330.38</v>
      </c>
      <c r="G14" s="20"/>
      <c r="H14" s="20"/>
      <c r="I14" s="20"/>
      <c r="J14" s="20"/>
      <c r="K14" s="20"/>
      <c r="L14" s="20"/>
      <c r="M14" s="20"/>
      <c r="N14" s="20"/>
    </row>
    <row r="15" customHeight="1" spans="1:14">
      <c r="A15" s="6"/>
      <c r="B15" s="7" t="s">
        <v>77</v>
      </c>
      <c r="C15" s="8" t="s">
        <v>214</v>
      </c>
      <c r="D15" s="9"/>
      <c r="E15" s="10">
        <v>12000</v>
      </c>
      <c r="F15" s="11">
        <f t="shared" si="0"/>
        <v>26330.38</v>
      </c>
      <c r="G15" s="20"/>
      <c r="H15" s="20"/>
      <c r="I15" s="20"/>
      <c r="J15" s="20"/>
      <c r="K15" s="20"/>
      <c r="L15" s="20"/>
      <c r="M15" s="20"/>
      <c r="N15" s="20"/>
    </row>
    <row r="16" customHeight="1" spans="1:14">
      <c r="A16" s="6"/>
      <c r="B16" s="7" t="s">
        <v>77</v>
      </c>
      <c r="C16" s="8" t="s">
        <v>245</v>
      </c>
      <c r="D16" s="9"/>
      <c r="E16" s="10">
        <v>6500</v>
      </c>
      <c r="F16" s="11">
        <f t="shared" si="0"/>
        <v>19830.38</v>
      </c>
      <c r="G16" s="20"/>
      <c r="H16" s="20"/>
      <c r="I16" s="20"/>
      <c r="J16" s="20"/>
      <c r="K16" s="20"/>
      <c r="L16" s="20"/>
      <c r="M16" s="20"/>
      <c r="N16" s="20"/>
    </row>
    <row r="17" customHeight="1" spans="1:14">
      <c r="A17" s="6"/>
      <c r="B17" s="7" t="s">
        <v>77</v>
      </c>
      <c r="C17" s="8" t="s">
        <v>27</v>
      </c>
      <c r="D17" s="9"/>
      <c r="E17" s="10">
        <f>19524-12000-6500</f>
        <v>1024</v>
      </c>
      <c r="F17" s="11">
        <f t="shared" si="0"/>
        <v>18806.38</v>
      </c>
      <c r="G17" s="127"/>
      <c r="I17" s="13"/>
      <c r="J17" s="13"/>
      <c r="K17" s="13"/>
      <c r="L17" s="13"/>
      <c r="M17" s="13"/>
      <c r="N17" s="13"/>
    </row>
    <row r="18" customHeight="1" spans="1:14">
      <c r="A18" s="6"/>
      <c r="B18" s="7" t="s">
        <v>687</v>
      </c>
      <c r="C18" s="8" t="s">
        <v>214</v>
      </c>
      <c r="D18" s="9"/>
      <c r="E18" s="10">
        <v>195</v>
      </c>
      <c r="F18" s="11">
        <f t="shared" si="0"/>
        <v>18611.38</v>
      </c>
      <c r="G18" s="20"/>
      <c r="H18" s="20"/>
      <c r="J18" s="20"/>
      <c r="K18" s="20"/>
      <c r="L18" s="20"/>
      <c r="M18" s="20"/>
      <c r="N18" s="20"/>
    </row>
    <row r="19" customHeight="1" spans="1:14">
      <c r="A19" s="6"/>
      <c r="B19" s="7"/>
      <c r="C19" s="8" t="s">
        <v>245</v>
      </c>
      <c r="D19" s="9"/>
      <c r="E19" s="128">
        <v>490</v>
      </c>
      <c r="F19" s="11">
        <f t="shared" si="0"/>
        <v>18121.38</v>
      </c>
      <c r="G19" s="20"/>
      <c r="H19" s="20"/>
      <c r="J19" s="20"/>
      <c r="K19" s="20"/>
      <c r="L19" s="20"/>
      <c r="M19" s="20"/>
      <c r="N19" s="20"/>
    </row>
    <row r="20" customHeight="1" spans="1:14">
      <c r="A20" s="6"/>
      <c r="B20" s="7" t="s">
        <v>931</v>
      </c>
      <c r="C20" s="8" t="s">
        <v>214</v>
      </c>
      <c r="D20" s="9"/>
      <c r="E20" s="10">
        <v>179</v>
      </c>
      <c r="F20" s="11">
        <f t="shared" si="0"/>
        <v>17942.38</v>
      </c>
      <c r="G20" s="20">
        <f>G21-F21</f>
        <v>0</v>
      </c>
      <c r="H20" s="20"/>
      <c r="J20" s="20"/>
      <c r="K20" s="20"/>
      <c r="L20" s="20"/>
      <c r="M20" s="20"/>
      <c r="N20" s="20"/>
    </row>
    <row r="21" customHeight="1" spans="1:14">
      <c r="A21" s="6"/>
      <c r="B21" s="7" t="s">
        <v>349</v>
      </c>
      <c r="C21" s="8"/>
      <c r="D21" s="9">
        <v>13</v>
      </c>
      <c r="E21" s="10"/>
      <c r="F21" s="11">
        <f t="shared" si="0"/>
        <v>17955.38</v>
      </c>
      <c r="G21" s="11">
        <f>H21+I21+J21+K21+L21+M21+N21</f>
        <v>17955.38</v>
      </c>
      <c r="H21" s="20">
        <v>0</v>
      </c>
      <c r="I21">
        <v>11861.64</v>
      </c>
      <c r="J21" s="20">
        <v>20</v>
      </c>
      <c r="K21" s="20">
        <v>0</v>
      </c>
      <c r="L21" s="20">
        <v>5750.74</v>
      </c>
      <c r="M21" s="20">
        <v>0</v>
      </c>
      <c r="N21" s="20">
        <f>200+100+10+8+5</f>
        <v>323</v>
      </c>
    </row>
    <row r="22" customHeight="1" spans="1:14">
      <c r="A22" s="129"/>
      <c r="B22" s="95" t="s">
        <v>932</v>
      </c>
      <c r="C22" s="96" t="s">
        <v>27</v>
      </c>
      <c r="D22" s="97"/>
      <c r="E22" s="98">
        <v>107</v>
      </c>
      <c r="F22" s="27">
        <f t="shared" si="0"/>
        <v>17848.38</v>
      </c>
      <c r="G22" s="63"/>
      <c r="H22" s="63"/>
      <c r="I22" s="63"/>
      <c r="J22" s="63"/>
      <c r="K22" s="63"/>
      <c r="L22" s="63"/>
      <c r="M22" s="63"/>
      <c r="N22" s="63"/>
    </row>
    <row r="23" customHeight="1" spans="1:14">
      <c r="A23" s="36" t="s">
        <v>933</v>
      </c>
      <c r="B23" s="16" t="s">
        <v>934</v>
      </c>
      <c r="C23" s="17" t="s">
        <v>27</v>
      </c>
      <c r="D23" s="18"/>
      <c r="E23" s="19">
        <v>1800</v>
      </c>
      <c r="F23" s="11">
        <f t="shared" si="0"/>
        <v>16048.38</v>
      </c>
      <c r="G23" s="11"/>
      <c r="H23" s="20"/>
      <c r="J23" s="20"/>
      <c r="K23" s="20"/>
      <c r="L23" s="20"/>
      <c r="M23" s="20"/>
      <c r="N23" s="20"/>
    </row>
    <row r="24" customHeight="1" spans="1:14">
      <c r="A24" s="6" t="s">
        <v>935</v>
      </c>
      <c r="B24" s="7" t="s">
        <v>936</v>
      </c>
      <c r="C24" s="8" t="s">
        <v>27</v>
      </c>
      <c r="D24" s="9"/>
      <c r="E24" s="10">
        <v>105</v>
      </c>
      <c r="F24" s="11">
        <f t="shared" si="0"/>
        <v>15943.38</v>
      </c>
      <c r="G24" s="20"/>
      <c r="H24" s="15"/>
      <c r="I24" s="13"/>
      <c r="J24" s="15"/>
      <c r="K24" s="15"/>
      <c r="L24" s="20"/>
      <c r="M24" s="15"/>
      <c r="N24" s="15"/>
    </row>
    <row r="25" customHeight="1" spans="1:14">
      <c r="A25" s="36" t="s">
        <v>937</v>
      </c>
      <c r="B25" s="16" t="s">
        <v>938</v>
      </c>
      <c r="C25" s="17" t="s">
        <v>27</v>
      </c>
      <c r="D25" s="18"/>
      <c r="E25" s="19">
        <f>319-41-89-45</f>
        <v>144</v>
      </c>
      <c r="F25" s="11">
        <f t="shared" si="0"/>
        <v>15799.38</v>
      </c>
      <c r="G25" s="15"/>
      <c r="H25" s="15"/>
      <c r="I25" s="15"/>
      <c r="J25" s="15"/>
      <c r="K25" s="15"/>
      <c r="L25" s="15"/>
      <c r="M25" s="15"/>
      <c r="N25" s="15"/>
    </row>
    <row r="26" customHeight="1" spans="1:14">
      <c r="A26" s="36"/>
      <c r="B26" s="16" t="s">
        <v>939</v>
      </c>
      <c r="C26" s="17" t="s">
        <v>224</v>
      </c>
      <c r="D26" s="18"/>
      <c r="E26" s="19">
        <f>41+89+45</f>
        <v>175</v>
      </c>
      <c r="F26" s="11">
        <f t="shared" si="0"/>
        <v>15624.38</v>
      </c>
      <c r="G26" s="15"/>
      <c r="H26" s="15"/>
      <c r="I26" s="15"/>
      <c r="J26" s="15"/>
      <c r="K26" s="15"/>
      <c r="L26" s="15"/>
      <c r="M26" s="15"/>
      <c r="N26" s="15"/>
    </row>
    <row r="27" customHeight="1" spans="1:14">
      <c r="A27" s="6"/>
      <c r="B27" s="7" t="s">
        <v>940</v>
      </c>
      <c r="C27" s="8"/>
      <c r="D27" s="9">
        <v>2</v>
      </c>
      <c r="E27" s="10"/>
      <c r="F27" s="11">
        <f t="shared" si="0"/>
        <v>15626.38</v>
      </c>
      <c r="G27" s="15"/>
      <c r="H27" s="15"/>
      <c r="I27" s="15"/>
      <c r="J27" s="15"/>
      <c r="K27" s="15"/>
      <c r="L27" s="15"/>
      <c r="M27" s="15"/>
      <c r="N27" s="15"/>
    </row>
    <row r="28" customHeight="1" spans="1:14">
      <c r="A28" s="6"/>
      <c r="B28" s="7" t="s">
        <v>941</v>
      </c>
      <c r="C28" s="8"/>
      <c r="D28" s="9">
        <v>4000</v>
      </c>
      <c r="E28" s="10"/>
      <c r="F28" s="11">
        <f t="shared" si="0"/>
        <v>19626.38</v>
      </c>
      <c r="G28" s="15"/>
      <c r="H28" s="15"/>
      <c r="I28" s="15"/>
      <c r="J28" s="15"/>
      <c r="K28" s="15"/>
      <c r="L28" s="15"/>
      <c r="M28" s="15"/>
      <c r="N28" s="15"/>
    </row>
    <row r="29" customHeight="1" spans="1:14">
      <c r="A29" s="36"/>
      <c r="B29" s="16" t="s">
        <v>942</v>
      </c>
      <c r="C29" s="17" t="s">
        <v>27</v>
      </c>
      <c r="D29" s="18"/>
      <c r="E29" s="19">
        <v>248</v>
      </c>
      <c r="F29" s="11">
        <f t="shared" si="0"/>
        <v>19378.38</v>
      </c>
      <c r="G29" s="15"/>
      <c r="H29" s="15"/>
      <c r="I29" s="15"/>
      <c r="J29" s="15"/>
      <c r="K29" s="15"/>
      <c r="L29" s="15"/>
      <c r="M29" s="15"/>
      <c r="N29" s="15"/>
    </row>
    <row r="30" customHeight="1" spans="1:14">
      <c r="A30" s="130">
        <v>45820</v>
      </c>
      <c r="B30" s="16" t="s">
        <v>943</v>
      </c>
      <c r="C30" s="17" t="s">
        <v>86</v>
      </c>
      <c r="D30" s="18"/>
      <c r="E30" s="19">
        <v>308</v>
      </c>
      <c r="F30" s="11">
        <f t="shared" si="0"/>
        <v>19070.38</v>
      </c>
      <c r="G30" s="15"/>
      <c r="H30" s="15"/>
      <c r="I30" s="15"/>
      <c r="J30" s="15"/>
      <c r="K30" s="15"/>
      <c r="L30" s="15"/>
      <c r="M30" s="15"/>
      <c r="N30" s="15"/>
    </row>
    <row r="31" customHeight="1" spans="1:14">
      <c r="A31" s="36"/>
      <c r="B31" s="16" t="s">
        <v>944</v>
      </c>
      <c r="C31" s="17" t="s">
        <v>27</v>
      </c>
      <c r="D31" s="18"/>
      <c r="E31" s="19">
        <v>350</v>
      </c>
      <c r="F31" s="11">
        <f t="shared" si="0"/>
        <v>18720.38</v>
      </c>
      <c r="G31" s="20"/>
      <c r="H31" s="20"/>
      <c r="J31" s="20"/>
      <c r="K31" s="20"/>
      <c r="L31" s="20"/>
      <c r="M31" s="20"/>
      <c r="N31" s="20"/>
    </row>
    <row r="32" customHeight="1" spans="1:14">
      <c r="A32" s="36" t="s">
        <v>945</v>
      </c>
      <c r="B32" s="16" t="s">
        <v>943</v>
      </c>
      <c r="C32" s="17" t="s">
        <v>86</v>
      </c>
      <c r="D32" s="18"/>
      <c r="E32" s="19">
        <v>925</v>
      </c>
      <c r="F32" s="11">
        <f t="shared" si="0"/>
        <v>17795.38</v>
      </c>
      <c r="G32" s="11"/>
      <c r="H32" s="20"/>
      <c r="J32" s="20"/>
      <c r="K32" s="20"/>
      <c r="L32" s="20"/>
      <c r="M32" s="20"/>
      <c r="N32" s="20"/>
    </row>
    <row r="33" customHeight="1" spans="1:14">
      <c r="A33" s="6" t="s">
        <v>946</v>
      </c>
      <c r="B33" s="7" t="s">
        <v>129</v>
      </c>
      <c r="C33" s="8" t="s">
        <v>210</v>
      </c>
      <c r="D33" s="9"/>
      <c r="E33" s="10">
        <v>400</v>
      </c>
      <c r="F33" s="11">
        <f t="shared" si="0"/>
        <v>17395.38</v>
      </c>
      <c r="G33" s="20">
        <f>G34-F34</f>
        <v>0</v>
      </c>
      <c r="H33" s="20"/>
      <c r="J33" s="20"/>
      <c r="K33" s="20"/>
      <c r="L33" s="20"/>
      <c r="M33" s="20"/>
      <c r="N33" s="20"/>
    </row>
    <row r="34" customHeight="1" spans="1:14">
      <c r="A34" s="6" t="s">
        <v>947</v>
      </c>
      <c r="B34" s="7"/>
      <c r="C34" s="8" t="s">
        <v>219</v>
      </c>
      <c r="D34" s="9"/>
      <c r="E34" s="10">
        <v>1200</v>
      </c>
      <c r="F34" s="11">
        <f t="shared" si="0"/>
        <v>16195.38</v>
      </c>
      <c r="G34" s="11">
        <f>H34+I34+J34+K34+L34+M34+N34</f>
        <v>16195.38</v>
      </c>
      <c r="H34" s="20">
        <v>0</v>
      </c>
      <c r="I34">
        <v>6306.64</v>
      </c>
      <c r="J34" s="20">
        <v>20</v>
      </c>
      <c r="K34" s="20">
        <v>0</v>
      </c>
      <c r="L34" s="20">
        <v>6995.74</v>
      </c>
      <c r="M34" s="20">
        <v>0</v>
      </c>
      <c r="N34" s="20">
        <f>2500+300+50+10+5+8</f>
        <v>2873</v>
      </c>
    </row>
    <row r="35" customHeight="1" spans="1:14">
      <c r="A35" s="22" t="s">
        <v>948</v>
      </c>
      <c r="B35" s="95" t="s">
        <v>949</v>
      </c>
      <c r="C35" s="96" t="s">
        <v>27</v>
      </c>
      <c r="D35" s="97"/>
      <c r="E35" s="98">
        <v>223</v>
      </c>
      <c r="F35" s="27">
        <f t="shared" si="0"/>
        <v>15972.38</v>
      </c>
      <c r="G35" s="63"/>
      <c r="H35" s="63"/>
      <c r="I35" s="63"/>
      <c r="J35" s="63"/>
      <c r="K35" s="63"/>
      <c r="L35" s="63"/>
      <c r="M35" s="63"/>
      <c r="N35" s="63"/>
    </row>
    <row r="36" customHeight="1" spans="1:14">
      <c r="A36" s="6"/>
      <c r="B36" s="131" t="s">
        <v>228</v>
      </c>
      <c r="C36" s="8" t="s">
        <v>27</v>
      </c>
      <c r="D36" s="9"/>
      <c r="E36" s="10">
        <f>1773.85-E37</f>
        <v>1525.85</v>
      </c>
      <c r="F36" s="11">
        <f t="shared" si="0"/>
        <v>14446.53</v>
      </c>
      <c r="G36" s="20"/>
      <c r="H36" s="20"/>
      <c r="J36" s="20"/>
      <c r="K36" s="20"/>
      <c r="L36" s="20"/>
      <c r="M36" s="20"/>
      <c r="N36" s="20"/>
    </row>
    <row r="37" customHeight="1" spans="1:14">
      <c r="A37" s="6"/>
      <c r="B37" s="131" t="s">
        <v>34</v>
      </c>
      <c r="C37" s="8" t="s">
        <v>224</v>
      </c>
      <c r="D37" s="9"/>
      <c r="E37" s="10">
        <f>248</f>
        <v>248</v>
      </c>
      <c r="F37" s="11">
        <f t="shared" si="0"/>
        <v>14198.53</v>
      </c>
      <c r="G37" s="15"/>
      <c r="H37" s="15"/>
      <c r="I37" s="15"/>
      <c r="J37" s="15"/>
      <c r="K37" s="15"/>
      <c r="L37" s="15"/>
      <c r="M37" s="15"/>
      <c r="N37" s="15"/>
    </row>
    <row r="38" customHeight="1" spans="1:14">
      <c r="A38" s="6" t="s">
        <v>950</v>
      </c>
      <c r="B38" s="132" t="s">
        <v>951</v>
      </c>
      <c r="C38" s="8" t="s">
        <v>245</v>
      </c>
      <c r="D38" s="9"/>
      <c r="E38" s="10">
        <f>345-E39</f>
        <v>92.5</v>
      </c>
      <c r="F38" s="11">
        <f t="shared" si="0"/>
        <v>14106.03</v>
      </c>
      <c r="G38" s="15"/>
      <c r="H38" s="15"/>
      <c r="I38" s="15"/>
      <c r="J38" s="15"/>
      <c r="K38" s="15"/>
      <c r="L38" s="15"/>
      <c r="M38" s="15"/>
      <c r="N38" s="15"/>
    </row>
    <row r="39" customHeight="1" spans="1:14">
      <c r="A39" s="73"/>
      <c r="B39" s="133" t="s">
        <v>952</v>
      </c>
      <c r="C39" s="75" t="s">
        <v>27</v>
      </c>
      <c r="D39" s="76"/>
      <c r="E39" s="78">
        <v>252.5</v>
      </c>
      <c r="F39" s="11">
        <f t="shared" si="0"/>
        <v>13853.53</v>
      </c>
      <c r="G39" s="15"/>
      <c r="H39" s="15"/>
      <c r="I39" s="15"/>
      <c r="J39" s="15"/>
      <c r="K39" s="15"/>
      <c r="L39" s="15"/>
      <c r="M39" s="15"/>
      <c r="N39" s="15"/>
    </row>
    <row r="40" customHeight="1" spans="1:14">
      <c r="A40" s="73"/>
      <c r="B40" s="74" t="s">
        <v>308</v>
      </c>
      <c r="C40" s="75" t="s">
        <v>201</v>
      </c>
      <c r="D40" s="76"/>
      <c r="E40" s="78">
        <v>213</v>
      </c>
      <c r="F40" s="11">
        <f t="shared" si="0"/>
        <v>13640.53</v>
      </c>
      <c r="G40" s="20"/>
      <c r="H40" s="20"/>
      <c r="J40" s="20"/>
      <c r="K40" s="20"/>
      <c r="L40" s="20"/>
      <c r="M40" s="20"/>
      <c r="N40" s="20"/>
    </row>
    <row r="41" customHeight="1" spans="1:14">
      <c r="A41" s="6" t="s">
        <v>953</v>
      </c>
      <c r="B41" s="16" t="s">
        <v>268</v>
      </c>
      <c r="C41" s="17" t="s">
        <v>86</v>
      </c>
      <c r="D41" s="18"/>
      <c r="E41" s="19">
        <v>265</v>
      </c>
      <c r="F41" s="11">
        <f t="shared" si="0"/>
        <v>13375.53</v>
      </c>
      <c r="G41" s="20"/>
      <c r="H41" s="20"/>
      <c r="J41" s="20"/>
      <c r="K41" s="20"/>
      <c r="L41" s="20"/>
      <c r="M41" s="20"/>
      <c r="N41" s="20"/>
    </row>
    <row r="42" customHeight="1" spans="1:14">
      <c r="A42" s="6"/>
      <c r="B42" s="16" t="s">
        <v>882</v>
      </c>
      <c r="C42" s="17" t="s">
        <v>214</v>
      </c>
      <c r="D42" s="18"/>
      <c r="E42" s="19">
        <v>381.9</v>
      </c>
      <c r="F42" s="11">
        <f t="shared" si="0"/>
        <v>12993.63</v>
      </c>
      <c r="G42" s="11"/>
      <c r="H42" s="20"/>
      <c r="J42" s="20"/>
      <c r="K42" s="20"/>
      <c r="L42" s="20"/>
      <c r="M42" s="20"/>
      <c r="N42" s="20"/>
    </row>
    <row r="43" customHeight="1" spans="1:14">
      <c r="A43" s="6"/>
      <c r="B43" s="7" t="s">
        <v>332</v>
      </c>
      <c r="C43" s="8" t="s">
        <v>210</v>
      </c>
      <c r="D43" s="9"/>
      <c r="E43" s="10">
        <v>460</v>
      </c>
      <c r="F43" s="11">
        <f t="shared" si="0"/>
        <v>12533.63</v>
      </c>
      <c r="G43" s="20"/>
      <c r="H43" s="20"/>
      <c r="J43" s="20"/>
      <c r="K43" s="20"/>
      <c r="L43" s="20"/>
      <c r="M43" s="20"/>
      <c r="N43" s="20"/>
    </row>
    <row r="44" customHeight="1" spans="1:6">
      <c r="A44" s="6"/>
      <c r="B44" s="131" t="s">
        <v>954</v>
      </c>
      <c r="C44" s="8" t="s">
        <v>27</v>
      </c>
      <c r="D44" s="9"/>
      <c r="E44" s="10">
        <f>275-E45</f>
        <v>186</v>
      </c>
      <c r="F44" s="11">
        <f t="shared" si="0"/>
        <v>12347.63</v>
      </c>
    </row>
    <row r="45" customHeight="1" spans="1:6">
      <c r="A45" s="6"/>
      <c r="B45" s="131" t="s">
        <v>955</v>
      </c>
      <c r="C45" s="8" t="s">
        <v>224</v>
      </c>
      <c r="D45" s="9"/>
      <c r="E45" s="10">
        <v>89</v>
      </c>
      <c r="F45" s="11">
        <f t="shared" si="0"/>
        <v>12258.63</v>
      </c>
    </row>
    <row r="46" customHeight="1" spans="1:14">
      <c r="A46" s="6"/>
      <c r="B46" s="7" t="s">
        <v>956</v>
      </c>
      <c r="C46" s="8" t="s">
        <v>214</v>
      </c>
      <c r="D46" s="9"/>
      <c r="E46" s="10">
        <v>500</v>
      </c>
      <c r="F46" s="11">
        <f t="shared" si="0"/>
        <v>11758.63</v>
      </c>
      <c r="G46" s="20">
        <f>G47-F47</f>
        <v>0</v>
      </c>
      <c r="H46" s="20"/>
      <c r="J46" s="20"/>
      <c r="K46" s="20"/>
      <c r="L46" s="20"/>
      <c r="M46" s="20"/>
      <c r="N46" s="20"/>
    </row>
    <row r="47" customHeight="1" spans="1:14">
      <c r="A47" s="6"/>
      <c r="B47" s="7" t="s">
        <v>312</v>
      </c>
      <c r="C47" s="8" t="s">
        <v>214</v>
      </c>
      <c r="D47" s="9"/>
      <c r="E47" s="10">
        <v>130</v>
      </c>
      <c r="F47" s="11">
        <f t="shared" si="0"/>
        <v>11628.63</v>
      </c>
      <c r="G47" s="11">
        <f>H47+I47+J47+K47+L47+M47+N47</f>
        <v>11628.63</v>
      </c>
      <c r="H47" s="20">
        <v>0</v>
      </c>
      <c r="I47">
        <v>5436.74</v>
      </c>
      <c r="J47" s="20">
        <v>20</v>
      </c>
      <c r="K47" s="20">
        <v>0</v>
      </c>
      <c r="L47" s="20">
        <v>3511.89</v>
      </c>
      <c r="M47" s="20">
        <v>0</v>
      </c>
      <c r="N47" s="20">
        <f>2000+600+50+10</f>
        <v>2660</v>
      </c>
    </row>
    <row r="48" customHeight="1" spans="1:14">
      <c r="A48" s="22" t="s">
        <v>953</v>
      </c>
      <c r="B48" s="95" t="s">
        <v>957</v>
      </c>
      <c r="C48" s="96" t="s">
        <v>224</v>
      </c>
      <c r="D48" s="97"/>
      <c r="E48" s="98">
        <v>157</v>
      </c>
      <c r="F48" s="27">
        <f t="shared" si="0"/>
        <v>11471.63</v>
      </c>
      <c r="G48" s="63"/>
      <c r="H48" s="100" t="s">
        <v>958</v>
      </c>
      <c r="I48" s="63"/>
      <c r="J48" s="63"/>
      <c r="K48" s="63"/>
      <c r="L48" s="63"/>
      <c r="M48" s="63"/>
      <c r="N48" s="63"/>
    </row>
    <row r="49" customHeight="1" spans="1:14">
      <c r="A49" s="6" t="s">
        <v>959</v>
      </c>
      <c r="B49" s="7" t="s">
        <v>808</v>
      </c>
      <c r="C49" s="8" t="s">
        <v>214</v>
      </c>
      <c r="D49" s="9"/>
      <c r="E49" s="10">
        <v>380</v>
      </c>
      <c r="F49" s="11">
        <f t="shared" si="0"/>
        <v>11091.63</v>
      </c>
      <c r="G49" s="20"/>
      <c r="H49" s="15"/>
      <c r="I49" s="13"/>
      <c r="J49" s="15"/>
      <c r="K49" s="15"/>
      <c r="L49" s="20"/>
      <c r="M49" s="15"/>
      <c r="N49" s="15"/>
    </row>
    <row r="50" customHeight="1" spans="1:14">
      <c r="A50" s="6"/>
      <c r="B50" s="7" t="s">
        <v>960</v>
      </c>
      <c r="C50" s="8" t="s">
        <v>27</v>
      </c>
      <c r="D50" s="9"/>
      <c r="E50" s="10">
        <v>60</v>
      </c>
      <c r="F50" s="11">
        <f t="shared" si="0"/>
        <v>11031.63</v>
      </c>
      <c r="G50" s="15"/>
      <c r="H50" s="15"/>
      <c r="I50" s="15"/>
      <c r="J50" s="15"/>
      <c r="K50" s="15"/>
      <c r="L50" s="15"/>
      <c r="M50" s="15"/>
      <c r="N50" s="15"/>
    </row>
    <row r="51" customHeight="1" spans="1:14">
      <c r="A51" s="6" t="s">
        <v>961</v>
      </c>
      <c r="B51" s="7" t="s">
        <v>962</v>
      </c>
      <c r="C51" s="8" t="s">
        <v>245</v>
      </c>
      <c r="D51" s="9"/>
      <c r="E51" s="10">
        <v>258</v>
      </c>
      <c r="F51" s="11">
        <f t="shared" si="0"/>
        <v>10773.63</v>
      </c>
      <c r="G51" s="20"/>
      <c r="H51" s="20"/>
      <c r="J51" s="20"/>
      <c r="K51" s="20"/>
      <c r="L51" s="20"/>
      <c r="M51" s="20"/>
      <c r="N51" s="20"/>
    </row>
    <row r="52" customHeight="1" spans="1:14">
      <c r="A52" s="6"/>
      <c r="B52" s="16" t="s">
        <v>963</v>
      </c>
      <c r="C52" s="17" t="s">
        <v>224</v>
      </c>
      <c r="D52" s="18"/>
      <c r="E52" s="19">
        <f>415-E53</f>
        <v>243</v>
      </c>
      <c r="F52" s="11">
        <f t="shared" si="0"/>
        <v>10530.63</v>
      </c>
      <c r="G52" s="11"/>
      <c r="H52" s="20"/>
      <c r="J52" s="20"/>
      <c r="K52" s="20"/>
      <c r="L52" s="20"/>
      <c r="M52" s="20"/>
      <c r="N52" s="20"/>
    </row>
    <row r="53" customHeight="1" spans="1:14">
      <c r="A53" s="6"/>
      <c r="B53" s="16" t="s">
        <v>964</v>
      </c>
      <c r="C53" s="17" t="s">
        <v>27</v>
      </c>
      <c r="D53" s="18"/>
      <c r="E53" s="19">
        <f>89+40+30+13</f>
        <v>172</v>
      </c>
      <c r="F53" s="11">
        <f t="shared" si="0"/>
        <v>10358.63</v>
      </c>
      <c r="G53" s="20"/>
      <c r="H53" s="20"/>
      <c r="I53" s="20"/>
      <c r="J53" s="20"/>
      <c r="K53" s="20"/>
      <c r="L53" s="20"/>
      <c r="M53" s="20"/>
      <c r="N53" s="20"/>
    </row>
    <row r="54" customHeight="1" spans="1:14">
      <c r="A54" s="6" t="s">
        <v>965</v>
      </c>
      <c r="B54" s="7" t="s">
        <v>407</v>
      </c>
      <c r="C54" s="8" t="s">
        <v>27</v>
      </c>
      <c r="D54" s="9"/>
      <c r="E54" s="10">
        <v>84</v>
      </c>
      <c r="F54" s="11">
        <f t="shared" si="0"/>
        <v>10274.63</v>
      </c>
      <c r="G54" s="15"/>
      <c r="H54" s="15"/>
      <c r="I54" s="15"/>
      <c r="J54" s="15"/>
      <c r="K54" s="15"/>
      <c r="L54" s="15"/>
      <c r="M54" s="15"/>
      <c r="N54" s="15"/>
    </row>
    <row r="55" customHeight="1" spans="1:14">
      <c r="A55" s="6"/>
      <c r="B55" s="7" t="s">
        <v>966</v>
      </c>
      <c r="C55" s="8" t="s">
        <v>86</v>
      </c>
      <c r="D55" s="9"/>
      <c r="E55" s="10">
        <v>380</v>
      </c>
      <c r="F55" s="11">
        <f t="shared" si="0"/>
        <v>9894.63</v>
      </c>
      <c r="G55" s="15"/>
      <c r="H55" s="15"/>
      <c r="I55" s="15"/>
      <c r="J55" s="15"/>
      <c r="K55" s="15"/>
      <c r="L55" s="15"/>
      <c r="M55" s="15"/>
      <c r="N55" s="15"/>
    </row>
    <row r="56" customHeight="1" spans="1:14">
      <c r="A56" s="6"/>
      <c r="B56" s="16"/>
      <c r="C56" s="17"/>
      <c r="D56" s="18">
        <v>1</v>
      </c>
      <c r="E56" s="19"/>
      <c r="F56" s="11">
        <f t="shared" si="0"/>
        <v>9895.63</v>
      </c>
      <c r="G56" s="15"/>
      <c r="H56" s="15"/>
      <c r="I56" s="15"/>
      <c r="J56" s="15"/>
      <c r="K56" s="15"/>
      <c r="L56" s="15"/>
      <c r="M56" s="15"/>
      <c r="N56" s="15"/>
    </row>
    <row r="57" customHeight="1" spans="1:14">
      <c r="A57" s="6"/>
      <c r="B57" s="16" t="s">
        <v>967</v>
      </c>
      <c r="C57" s="17" t="s">
        <v>27</v>
      </c>
      <c r="D57" s="18"/>
      <c r="E57" s="19">
        <v>334</v>
      </c>
      <c r="F57" s="11">
        <f t="shared" si="0"/>
        <v>9561.63</v>
      </c>
      <c r="G57" s="20"/>
      <c r="H57" s="20"/>
      <c r="I57" s="20"/>
      <c r="J57" s="20"/>
      <c r="K57" s="20"/>
      <c r="L57" s="20"/>
      <c r="M57" s="20"/>
      <c r="N57" s="20"/>
    </row>
    <row r="58" customHeight="1" spans="1:14">
      <c r="A58" s="6"/>
      <c r="B58" s="16" t="s">
        <v>17</v>
      </c>
      <c r="C58" s="17" t="s">
        <v>86</v>
      </c>
      <c r="D58" s="18"/>
      <c r="E58" s="19">
        <v>232</v>
      </c>
      <c r="F58" s="11">
        <f t="shared" si="0"/>
        <v>9329.63</v>
      </c>
      <c r="G58" s="20"/>
      <c r="H58" s="20"/>
      <c r="J58" s="20"/>
      <c r="K58" s="20"/>
      <c r="L58" s="20"/>
      <c r="M58" s="20"/>
      <c r="N58" s="20"/>
    </row>
    <row r="59" customHeight="1" spans="1:14">
      <c r="A59" s="6"/>
      <c r="B59" s="16" t="s">
        <v>542</v>
      </c>
      <c r="C59" s="17" t="s">
        <v>214</v>
      </c>
      <c r="D59" s="18"/>
      <c r="E59" s="19">
        <v>75</v>
      </c>
      <c r="F59" s="11">
        <f t="shared" si="0"/>
        <v>9254.63</v>
      </c>
      <c r="G59" s="11"/>
      <c r="H59" s="20"/>
      <c r="J59" s="20"/>
      <c r="K59" s="20"/>
      <c r="L59" s="20"/>
      <c r="M59" s="20"/>
      <c r="N59" s="20"/>
    </row>
    <row r="60" customHeight="1" spans="1:14">
      <c r="A60" s="6" t="s">
        <v>968</v>
      </c>
      <c r="B60" s="16" t="s">
        <v>969</v>
      </c>
      <c r="C60" s="17" t="s">
        <v>27</v>
      </c>
      <c r="D60" s="18"/>
      <c r="E60" s="19">
        <v>363</v>
      </c>
      <c r="F60" s="11">
        <f t="shared" si="0"/>
        <v>8891.63</v>
      </c>
      <c r="G60" s="11"/>
      <c r="H60" s="20"/>
      <c r="I60" s="20"/>
      <c r="J60" s="20"/>
      <c r="K60" s="20"/>
      <c r="L60" s="20"/>
      <c r="M60" s="20"/>
      <c r="N60" s="20"/>
    </row>
    <row r="61" customHeight="1" spans="1:14">
      <c r="A61" s="6"/>
      <c r="B61" s="7"/>
      <c r="C61" s="8" t="s">
        <v>219</v>
      </c>
      <c r="D61" s="9"/>
      <c r="E61" s="10">
        <v>200</v>
      </c>
      <c r="F61" s="11">
        <f t="shared" si="0"/>
        <v>8691.63</v>
      </c>
      <c r="G61" s="15"/>
      <c r="H61" s="15"/>
      <c r="I61" s="15"/>
      <c r="J61" s="15"/>
      <c r="K61" s="15"/>
      <c r="L61" s="15"/>
      <c r="M61" s="15"/>
      <c r="N61" s="15"/>
    </row>
    <row r="62" customHeight="1" spans="1:14">
      <c r="A62" s="6"/>
      <c r="B62" s="16"/>
      <c r="C62" s="17"/>
      <c r="D62" s="18">
        <v>5</v>
      </c>
      <c r="E62" s="19"/>
      <c r="F62" s="11">
        <f t="shared" si="0"/>
        <v>8696.63</v>
      </c>
      <c r="G62" s="15"/>
      <c r="H62" s="15"/>
      <c r="I62" s="15"/>
      <c r="J62" s="15"/>
      <c r="K62" s="15"/>
      <c r="L62" s="15"/>
      <c r="M62" s="15"/>
      <c r="N62" s="15"/>
    </row>
    <row r="63" customHeight="1" spans="1:14">
      <c r="A63" s="6"/>
      <c r="B63" s="16" t="s">
        <v>17</v>
      </c>
      <c r="C63" s="17" t="s">
        <v>86</v>
      </c>
      <c r="D63" s="18"/>
      <c r="E63" s="19">
        <v>291</v>
      </c>
      <c r="F63" s="11">
        <f t="shared" si="0"/>
        <v>8405.63</v>
      </c>
      <c r="G63" s="11"/>
      <c r="H63" s="20"/>
      <c r="J63" s="20"/>
      <c r="K63" s="20"/>
      <c r="L63" s="20"/>
      <c r="M63" s="20"/>
      <c r="N63" s="20"/>
    </row>
    <row r="64" customHeight="1" spans="1:14">
      <c r="A64" s="6"/>
      <c r="B64" s="16" t="s">
        <v>970</v>
      </c>
      <c r="C64" s="17" t="s">
        <v>214</v>
      </c>
      <c r="D64" s="18"/>
      <c r="E64" s="19">
        <v>341</v>
      </c>
      <c r="F64" s="11">
        <f t="shared" si="0"/>
        <v>8064.63</v>
      </c>
      <c r="G64" s="20">
        <f>G65-F65</f>
        <v>177.000000000004</v>
      </c>
      <c r="H64" s="20"/>
      <c r="J64" s="20"/>
      <c r="K64" s="20"/>
      <c r="L64" s="20"/>
      <c r="M64" s="20"/>
      <c r="N64" s="20"/>
    </row>
    <row r="65" customHeight="1" spans="1:14">
      <c r="A65" s="6"/>
      <c r="B65" s="7"/>
      <c r="C65" s="8"/>
      <c r="D65" s="9">
        <v>2</v>
      </c>
      <c r="E65" s="10"/>
      <c r="F65" s="11">
        <f t="shared" si="0"/>
        <v>8066.63</v>
      </c>
      <c r="G65" s="11">
        <f>H65+I65+J65+K65+L65+M65+N65</f>
        <v>8243.63</v>
      </c>
      <c r="H65" s="20">
        <v>0</v>
      </c>
      <c r="I65">
        <v>3234.74</v>
      </c>
      <c r="J65" s="20">
        <v>199</v>
      </c>
      <c r="K65" s="20">
        <v>0</v>
      </c>
      <c r="L65" s="20">
        <v>1909.89</v>
      </c>
      <c r="M65" s="20">
        <v>0</v>
      </c>
      <c r="N65" s="20">
        <f>2500+400</f>
        <v>2900</v>
      </c>
    </row>
    <row r="66" customHeight="1" spans="1:14">
      <c r="A66" s="6" t="s">
        <v>971</v>
      </c>
      <c r="B66" s="7" t="s">
        <v>531</v>
      </c>
      <c r="C66" s="8" t="s">
        <v>224</v>
      </c>
      <c r="D66" s="9"/>
      <c r="E66" s="10">
        <v>19</v>
      </c>
      <c r="F66" s="11">
        <f t="shared" si="0"/>
        <v>8047.63</v>
      </c>
      <c r="G66" s="12"/>
      <c r="H66" s="13"/>
      <c r="I66" s="13"/>
      <c r="J66" s="13"/>
      <c r="K66" s="13"/>
      <c r="L66" s="13"/>
      <c r="M66" s="13"/>
      <c r="N66" s="13"/>
    </row>
    <row r="67" customHeight="1" spans="1:14">
      <c r="A67" s="6"/>
      <c r="B67" s="7" t="s">
        <v>972</v>
      </c>
      <c r="C67" s="8" t="s">
        <v>27</v>
      </c>
      <c r="D67" s="9"/>
      <c r="E67" s="10">
        <v>398.75</v>
      </c>
      <c r="F67" s="11">
        <f t="shared" si="0"/>
        <v>7648.88</v>
      </c>
      <c r="G67" s="20"/>
      <c r="H67" s="20"/>
      <c r="J67" s="20"/>
      <c r="K67" s="20"/>
      <c r="L67" s="20"/>
      <c r="M67" s="20"/>
      <c r="N67" s="20"/>
    </row>
    <row r="68" customHeight="1" spans="1:14">
      <c r="A68" s="6"/>
      <c r="B68" s="134"/>
      <c r="C68" s="8"/>
      <c r="D68" s="9">
        <v>1</v>
      </c>
      <c r="E68" s="10"/>
      <c r="F68" s="11">
        <f t="shared" si="0"/>
        <v>7649.88</v>
      </c>
      <c r="G68" s="11"/>
      <c r="H68" s="20"/>
      <c r="J68" s="20"/>
      <c r="K68" s="20"/>
      <c r="L68" s="20"/>
      <c r="M68" s="20"/>
      <c r="N68" s="20"/>
    </row>
    <row r="69" customHeight="1" spans="1:14">
      <c r="A69" s="6"/>
      <c r="B69" s="134" t="s">
        <v>33</v>
      </c>
      <c r="C69" s="8" t="s">
        <v>86</v>
      </c>
      <c r="D69" s="9"/>
      <c r="E69" s="10">
        <v>200</v>
      </c>
      <c r="F69" s="11">
        <f t="shared" si="0"/>
        <v>7449.88</v>
      </c>
      <c r="G69" s="11"/>
      <c r="H69" s="20"/>
      <c r="J69" s="20"/>
      <c r="K69" s="20"/>
      <c r="L69" s="20"/>
      <c r="M69" s="20"/>
      <c r="N69" s="20"/>
    </row>
    <row r="70" customHeight="1" spans="1:14">
      <c r="A70" s="36" t="s">
        <v>973</v>
      </c>
      <c r="B70" s="109" t="s">
        <v>974</v>
      </c>
      <c r="C70" s="17" t="s">
        <v>27</v>
      </c>
      <c r="D70" s="18"/>
      <c r="E70" s="19">
        <v>427</v>
      </c>
      <c r="F70" s="11">
        <f t="shared" si="0"/>
        <v>7022.88</v>
      </c>
      <c r="G70" s="11"/>
      <c r="H70" s="20"/>
      <c r="J70" s="20"/>
      <c r="K70" s="20"/>
      <c r="L70" s="20"/>
      <c r="M70" s="20"/>
      <c r="N70" s="20"/>
    </row>
    <row r="71" customHeight="1" spans="1:14">
      <c r="A71" s="6" t="s">
        <v>975</v>
      </c>
      <c r="B71" s="134" t="s">
        <v>976</v>
      </c>
      <c r="C71" s="8" t="s">
        <v>214</v>
      </c>
      <c r="D71" s="9"/>
      <c r="E71" s="10">
        <v>500</v>
      </c>
      <c r="F71" s="11">
        <f t="shared" si="0"/>
        <v>6522.88</v>
      </c>
      <c r="G71" s="12"/>
      <c r="H71" s="13"/>
      <c r="I71" s="13"/>
      <c r="J71" s="13"/>
      <c r="K71" s="13"/>
      <c r="L71" s="13"/>
      <c r="M71" s="13"/>
      <c r="N71" s="13"/>
    </row>
    <row r="72" customHeight="1" spans="1:14">
      <c r="A72" s="6"/>
      <c r="B72" s="134" t="s">
        <v>531</v>
      </c>
      <c r="C72" s="8" t="s">
        <v>224</v>
      </c>
      <c r="D72" s="9"/>
      <c r="E72" s="10">
        <v>20</v>
      </c>
      <c r="F72" s="11">
        <f t="shared" si="0"/>
        <v>6502.88</v>
      </c>
      <c r="G72" s="20"/>
      <c r="H72" s="20"/>
      <c r="J72" s="20"/>
      <c r="K72" s="20"/>
      <c r="L72" s="20"/>
      <c r="M72" s="20"/>
      <c r="N72" s="20"/>
    </row>
    <row r="73" customHeight="1" spans="1:14">
      <c r="A73" s="6"/>
      <c r="B73" s="16" t="s">
        <v>974</v>
      </c>
      <c r="C73" s="17" t="s">
        <v>27</v>
      </c>
      <c r="D73" s="18"/>
      <c r="E73" s="19">
        <v>231</v>
      </c>
      <c r="F73" s="11">
        <f t="shared" si="0"/>
        <v>6271.88</v>
      </c>
      <c r="G73" s="11"/>
      <c r="H73" s="20"/>
      <c r="J73" s="20"/>
      <c r="K73" s="20"/>
      <c r="L73" s="20"/>
      <c r="M73" s="20"/>
      <c r="N73" s="20"/>
    </row>
    <row r="74" customHeight="1" spans="1:14">
      <c r="A74" s="6"/>
      <c r="B74" s="16" t="s">
        <v>974</v>
      </c>
      <c r="C74" s="17" t="s">
        <v>27</v>
      </c>
      <c r="D74" s="18"/>
      <c r="E74" s="19">
        <v>186.9</v>
      </c>
      <c r="F74" s="11">
        <f t="shared" si="0"/>
        <v>6084.98</v>
      </c>
      <c r="G74" s="12"/>
      <c r="H74" s="13"/>
      <c r="I74" s="13"/>
      <c r="J74" s="13"/>
      <c r="K74" s="13"/>
      <c r="L74" s="13"/>
      <c r="M74" s="13"/>
      <c r="N74" s="13"/>
    </row>
    <row r="75" customHeight="1" spans="1:14">
      <c r="A75" s="6" t="s">
        <v>977</v>
      </c>
      <c r="B75" s="7" t="s">
        <v>978</v>
      </c>
      <c r="C75" s="8" t="s">
        <v>210</v>
      </c>
      <c r="D75" s="9"/>
      <c r="E75" s="10">
        <v>420</v>
      </c>
      <c r="F75" s="11">
        <f t="shared" si="0"/>
        <v>5664.98</v>
      </c>
      <c r="G75" s="12"/>
      <c r="H75" s="13"/>
      <c r="I75" s="13"/>
      <c r="J75" s="13"/>
      <c r="K75" s="13"/>
      <c r="L75" s="13"/>
      <c r="M75" s="13"/>
      <c r="N75" s="13"/>
    </row>
    <row r="76" customHeight="1" spans="1:14">
      <c r="A76" s="6"/>
      <c r="B76" s="7" t="s">
        <v>979</v>
      </c>
      <c r="C76" s="8" t="s">
        <v>210</v>
      </c>
      <c r="D76" s="9"/>
      <c r="E76" s="10">
        <v>260</v>
      </c>
      <c r="F76" s="11">
        <f t="shared" si="0"/>
        <v>5404.98</v>
      </c>
      <c r="G76" s="12"/>
      <c r="H76" s="13"/>
      <c r="I76" s="13"/>
      <c r="J76" s="13"/>
      <c r="K76" s="13"/>
      <c r="L76" s="13"/>
      <c r="M76" s="13"/>
      <c r="N76" s="13"/>
    </row>
    <row r="77" customHeight="1" spans="1:6">
      <c r="A77" s="6"/>
      <c r="B77" s="7" t="s">
        <v>325</v>
      </c>
      <c r="C77" s="8" t="s">
        <v>86</v>
      </c>
      <c r="D77" s="9"/>
      <c r="E77" s="10">
        <v>285</v>
      </c>
      <c r="F77" s="11">
        <f t="shared" si="0"/>
        <v>5119.98</v>
      </c>
    </row>
    <row r="78" customHeight="1" spans="1:14">
      <c r="A78" s="6"/>
      <c r="B78" s="7" t="s">
        <v>980</v>
      </c>
      <c r="C78" s="8" t="s">
        <v>214</v>
      </c>
      <c r="D78" s="9"/>
      <c r="E78" s="10">
        <v>173</v>
      </c>
      <c r="F78" s="11">
        <f t="shared" si="0"/>
        <v>4946.98</v>
      </c>
      <c r="G78" s="20">
        <f>G79-F79</f>
        <v>0</v>
      </c>
      <c r="H78" s="20"/>
      <c r="J78" s="20"/>
      <c r="K78" s="20"/>
      <c r="L78" s="20"/>
      <c r="M78" s="20"/>
      <c r="N78" s="20"/>
    </row>
    <row r="79" customHeight="1" spans="1:14">
      <c r="A79" s="6"/>
      <c r="B79" s="37" t="s">
        <v>35</v>
      </c>
      <c r="C79" s="8" t="s">
        <v>219</v>
      </c>
      <c r="D79" s="9"/>
      <c r="E79" s="10">
        <v>457</v>
      </c>
      <c r="F79" s="11">
        <f t="shared" si="0"/>
        <v>4489.98</v>
      </c>
      <c r="G79" s="11">
        <f>H79+I79+J79+K79+L79+M79+N79</f>
        <v>4489.98</v>
      </c>
      <c r="H79" s="20">
        <v>0</v>
      </c>
      <c r="I79">
        <v>1750.84</v>
      </c>
      <c r="J79" s="20">
        <v>199</v>
      </c>
      <c r="K79" s="20">
        <v>0</v>
      </c>
      <c r="L79" s="20">
        <v>495.14</v>
      </c>
      <c r="M79" s="20">
        <v>0</v>
      </c>
      <c r="N79" s="20">
        <f>2000+30+10+5</f>
        <v>2045</v>
      </c>
    </row>
    <row r="80" customHeight="1" spans="1:14">
      <c r="A80" s="22"/>
      <c r="B80" s="95" t="s">
        <v>981</v>
      </c>
      <c r="C80" s="96" t="s">
        <v>214</v>
      </c>
      <c r="D80" s="97"/>
      <c r="E80" s="98">
        <v>641</v>
      </c>
      <c r="F80" s="27">
        <f t="shared" si="0"/>
        <v>3848.98</v>
      </c>
      <c r="G80" s="27"/>
      <c r="H80" s="38"/>
      <c r="I80" s="138"/>
      <c r="J80" s="38"/>
      <c r="K80" s="38"/>
      <c r="L80" s="38"/>
      <c r="M80" s="38"/>
      <c r="N80" s="38"/>
    </row>
    <row r="81" customHeight="1" spans="1:14">
      <c r="A81" s="6" t="s">
        <v>982</v>
      </c>
      <c r="B81" s="7" t="s">
        <v>983</v>
      </c>
      <c r="C81" s="8" t="s">
        <v>214</v>
      </c>
      <c r="D81" s="9"/>
      <c r="E81" s="10">
        <v>110</v>
      </c>
      <c r="F81" s="11">
        <f t="shared" si="0"/>
        <v>3738.98</v>
      </c>
      <c r="G81" s="11"/>
      <c r="H81" s="20"/>
      <c r="I81" s="64"/>
      <c r="J81" s="20"/>
      <c r="K81" s="20"/>
      <c r="L81" s="20"/>
      <c r="M81" s="20"/>
      <c r="N81" s="20"/>
    </row>
    <row r="82" customHeight="1" spans="1:14">
      <c r="A82" s="6"/>
      <c r="B82" s="7" t="s">
        <v>33</v>
      </c>
      <c r="C82" s="8" t="s">
        <v>201</v>
      </c>
      <c r="D82" s="9"/>
      <c r="E82" s="10">
        <v>200</v>
      </c>
      <c r="F82" s="11">
        <f t="shared" si="0"/>
        <v>3538.98</v>
      </c>
      <c r="G82" s="15"/>
      <c r="H82" s="20"/>
      <c r="J82" s="20"/>
      <c r="K82" s="20"/>
      <c r="L82" s="20"/>
      <c r="M82" s="20"/>
      <c r="N82" s="20"/>
    </row>
    <row r="83" customHeight="1" spans="1:14">
      <c r="A83" s="6"/>
      <c r="B83" s="7" t="s">
        <v>307</v>
      </c>
      <c r="C83" s="8" t="s">
        <v>86</v>
      </c>
      <c r="D83" s="9"/>
      <c r="E83" s="10">
        <v>325</v>
      </c>
      <c r="F83" s="11">
        <f t="shared" si="0"/>
        <v>3213.98</v>
      </c>
      <c r="G83" s="20"/>
      <c r="H83" s="20"/>
      <c r="J83" s="20"/>
      <c r="K83" s="20"/>
      <c r="L83" s="20"/>
      <c r="M83" s="20"/>
      <c r="N83" s="20"/>
    </row>
    <row r="84" customHeight="1" spans="1:14">
      <c r="A84" s="6"/>
      <c r="B84" s="16"/>
      <c r="C84" s="17"/>
      <c r="D84" s="18">
        <v>14</v>
      </c>
      <c r="E84" s="19"/>
      <c r="F84" s="11">
        <f t="shared" si="0"/>
        <v>3227.98</v>
      </c>
      <c r="G84" s="11"/>
      <c r="H84" s="20"/>
      <c r="J84" s="20"/>
      <c r="K84" s="20"/>
      <c r="L84" s="20"/>
      <c r="M84" s="20"/>
      <c r="N84" s="20"/>
    </row>
    <row r="85" customHeight="1" spans="1:14">
      <c r="A85" s="6"/>
      <c r="B85" s="16" t="s">
        <v>984</v>
      </c>
      <c r="C85" s="17" t="s">
        <v>27</v>
      </c>
      <c r="D85" s="18"/>
      <c r="E85" s="19">
        <v>356</v>
      </c>
      <c r="F85" s="11">
        <f t="shared" si="0"/>
        <v>2871.98</v>
      </c>
      <c r="G85" s="11"/>
      <c r="H85" s="20"/>
      <c r="J85" s="20"/>
      <c r="K85" s="20"/>
      <c r="L85" s="20"/>
      <c r="M85" s="20"/>
      <c r="N85" s="20"/>
    </row>
    <row r="86" customHeight="1" spans="1:14">
      <c r="A86" s="6" t="s">
        <v>985</v>
      </c>
      <c r="B86" s="7" t="s">
        <v>275</v>
      </c>
      <c r="C86" s="8" t="s">
        <v>219</v>
      </c>
      <c r="D86" s="9"/>
      <c r="E86" s="10">
        <v>200</v>
      </c>
      <c r="F86" s="11">
        <f t="shared" si="0"/>
        <v>2671.98</v>
      </c>
      <c r="G86" s="11"/>
      <c r="H86" s="20"/>
      <c r="J86" s="20"/>
      <c r="K86" s="20"/>
      <c r="L86" s="20"/>
      <c r="M86" s="20"/>
      <c r="N86" s="20"/>
    </row>
    <row r="87" customHeight="1" spans="1:14">
      <c r="A87" s="6"/>
      <c r="B87" s="16" t="s">
        <v>974</v>
      </c>
      <c r="C87" s="17" t="s">
        <v>27</v>
      </c>
      <c r="D87" s="18"/>
      <c r="E87" s="19">
        <v>458</v>
      </c>
      <c r="F87" s="11">
        <f t="shared" si="0"/>
        <v>2213.98</v>
      </c>
      <c r="G87" s="12"/>
      <c r="H87" s="13"/>
      <c r="I87" s="13"/>
      <c r="J87" s="13"/>
      <c r="K87" s="13"/>
      <c r="L87" s="13"/>
      <c r="M87" s="13"/>
      <c r="N87" s="13"/>
    </row>
    <row r="88" customHeight="1" spans="1:14">
      <c r="A88" s="6" t="s">
        <v>986</v>
      </c>
      <c r="B88" s="7" t="s">
        <v>987</v>
      </c>
      <c r="C88" s="8" t="s">
        <v>219</v>
      </c>
      <c r="D88" s="9"/>
      <c r="E88" s="10">
        <f>110+30</f>
        <v>140</v>
      </c>
      <c r="F88" s="11">
        <f t="shared" si="0"/>
        <v>2073.98</v>
      </c>
      <c r="G88" s="12"/>
      <c r="H88" s="13"/>
      <c r="I88" s="13"/>
      <c r="J88" s="13"/>
      <c r="K88" s="13"/>
      <c r="L88" s="13"/>
      <c r="M88" s="13"/>
      <c r="N88" s="13"/>
    </row>
    <row r="89" customHeight="1" spans="1:14">
      <c r="A89" s="6"/>
      <c r="B89" s="7" t="s">
        <v>277</v>
      </c>
      <c r="C89" s="8" t="s">
        <v>214</v>
      </c>
      <c r="D89" s="9"/>
      <c r="E89" s="10">
        <v>323</v>
      </c>
      <c r="F89" s="11">
        <f t="shared" si="0"/>
        <v>1750.98</v>
      </c>
      <c r="G89" s="20"/>
      <c r="H89" s="20"/>
      <c r="J89" s="20"/>
      <c r="K89" s="20"/>
      <c r="L89" s="20"/>
      <c r="M89" s="20"/>
      <c r="N89" s="20"/>
    </row>
    <row r="90" customHeight="1" spans="1:14">
      <c r="A90" s="6"/>
      <c r="B90" s="7" t="s">
        <v>452</v>
      </c>
      <c r="C90" s="8" t="s">
        <v>224</v>
      </c>
      <c r="D90" s="9"/>
      <c r="E90" s="10">
        <v>20</v>
      </c>
      <c r="F90" s="11">
        <f t="shared" si="0"/>
        <v>1730.98</v>
      </c>
      <c r="G90" s="11"/>
      <c r="H90" s="20"/>
      <c r="I90" s="64"/>
      <c r="J90" s="20"/>
      <c r="K90" s="20"/>
      <c r="L90" s="20"/>
      <c r="M90" s="20"/>
      <c r="N90" s="20"/>
    </row>
    <row r="91" customHeight="1" spans="1:14">
      <c r="A91" s="6"/>
      <c r="B91" s="16" t="s">
        <v>974</v>
      </c>
      <c r="C91" s="17" t="s">
        <v>27</v>
      </c>
      <c r="D91" s="18"/>
      <c r="E91" s="19">
        <v>168</v>
      </c>
      <c r="F91" s="11">
        <f t="shared" si="0"/>
        <v>1562.98</v>
      </c>
      <c r="G91" s="15"/>
      <c r="H91" s="15"/>
      <c r="I91" s="15"/>
      <c r="J91" s="15"/>
      <c r="K91" s="15"/>
      <c r="L91" s="15"/>
      <c r="M91" s="15"/>
      <c r="N91" s="15"/>
    </row>
    <row r="92" customHeight="1" spans="1:14">
      <c r="A92" s="6" t="s">
        <v>988</v>
      </c>
      <c r="B92" s="7" t="s">
        <v>989</v>
      </c>
      <c r="C92" s="8" t="s">
        <v>27</v>
      </c>
      <c r="D92" s="9"/>
      <c r="E92" s="10">
        <f>502+25</f>
        <v>527</v>
      </c>
      <c r="F92" s="11">
        <f t="shared" si="0"/>
        <v>1035.98</v>
      </c>
      <c r="G92" s="15"/>
      <c r="H92" s="15"/>
      <c r="I92" s="15"/>
      <c r="J92" s="15"/>
      <c r="K92" s="15"/>
      <c r="L92" s="15"/>
      <c r="M92" s="15"/>
      <c r="N92" s="15"/>
    </row>
    <row r="93" customHeight="1" spans="1:14">
      <c r="A93" s="6"/>
      <c r="B93" s="7" t="s">
        <v>990</v>
      </c>
      <c r="C93" s="8" t="s">
        <v>27</v>
      </c>
      <c r="D93" s="9"/>
      <c r="E93" s="10">
        <v>124.6</v>
      </c>
      <c r="F93" s="11">
        <f t="shared" si="0"/>
        <v>911.379999999998</v>
      </c>
      <c r="G93" s="15"/>
      <c r="H93" s="15"/>
      <c r="I93" s="15"/>
      <c r="J93" s="15"/>
      <c r="K93" s="15"/>
      <c r="L93" s="15"/>
      <c r="M93" s="15"/>
      <c r="N93" s="15"/>
    </row>
    <row r="94" customHeight="1" spans="1:14">
      <c r="A94" s="6" t="s">
        <v>991</v>
      </c>
      <c r="B94" s="7" t="s">
        <v>308</v>
      </c>
      <c r="C94" s="8" t="s">
        <v>201</v>
      </c>
      <c r="D94" s="9"/>
      <c r="E94" s="10">
        <v>200</v>
      </c>
      <c r="F94" s="11">
        <f t="shared" si="0"/>
        <v>711.379999999998</v>
      </c>
      <c r="G94" s="20"/>
      <c r="H94" s="20"/>
      <c r="I94" s="20"/>
      <c r="J94" s="20"/>
      <c r="K94" s="20"/>
      <c r="L94" s="20"/>
      <c r="M94" s="20"/>
      <c r="N94" s="20"/>
    </row>
    <row r="95" customHeight="1" spans="1:14">
      <c r="A95" s="6" t="s">
        <v>992</v>
      </c>
      <c r="B95" s="7"/>
      <c r="C95" s="8" t="s">
        <v>219</v>
      </c>
      <c r="D95" s="9"/>
      <c r="E95" s="10">
        <v>200</v>
      </c>
      <c r="F95" s="11">
        <f t="shared" si="0"/>
        <v>511.379999999998</v>
      </c>
      <c r="G95" s="20"/>
      <c r="H95" s="20"/>
      <c r="J95" s="20"/>
      <c r="K95" s="20"/>
      <c r="L95" s="20"/>
      <c r="M95" s="20"/>
      <c r="N95" s="20"/>
    </row>
    <row r="96" customHeight="1" spans="1:14">
      <c r="A96" s="6"/>
      <c r="B96" s="16" t="s">
        <v>993</v>
      </c>
      <c r="C96" s="17"/>
      <c r="D96" s="18">
        <v>30</v>
      </c>
      <c r="E96" s="10"/>
      <c r="F96" s="11">
        <f t="shared" si="0"/>
        <v>541.379999999998</v>
      </c>
      <c r="G96" s="11"/>
      <c r="H96" s="20"/>
      <c r="J96" s="20"/>
      <c r="K96" s="20"/>
      <c r="L96" s="20"/>
      <c r="M96" s="20"/>
      <c r="N96" s="20"/>
    </row>
    <row r="97" customHeight="1" spans="1:14">
      <c r="A97" s="6"/>
      <c r="B97" s="7" t="s">
        <v>994</v>
      </c>
      <c r="C97" s="8"/>
      <c r="D97" s="9">
        <v>2500</v>
      </c>
      <c r="E97" s="10"/>
      <c r="F97" s="11">
        <f t="shared" si="0"/>
        <v>3041.38</v>
      </c>
      <c r="G97" s="11"/>
      <c r="H97" s="20"/>
      <c r="J97" s="20"/>
      <c r="K97" s="20"/>
      <c r="L97" s="20"/>
      <c r="M97" s="20"/>
      <c r="N97" s="20"/>
    </row>
    <row r="98" customHeight="1" spans="1:14">
      <c r="A98" s="6"/>
      <c r="B98" s="7" t="s">
        <v>332</v>
      </c>
      <c r="C98" s="8" t="s">
        <v>210</v>
      </c>
      <c r="D98" s="9"/>
      <c r="E98" s="10">
        <v>420</v>
      </c>
      <c r="F98" s="11">
        <f t="shared" si="0"/>
        <v>2621.38</v>
      </c>
      <c r="G98" s="11"/>
      <c r="H98" s="20"/>
      <c r="I98" s="20"/>
      <c r="J98" s="20"/>
      <c r="K98" s="20"/>
      <c r="L98" s="20"/>
      <c r="M98" s="20"/>
      <c r="N98" s="20"/>
    </row>
    <row r="99" customHeight="1" spans="1:14">
      <c r="A99" s="6" t="s">
        <v>995</v>
      </c>
      <c r="B99" s="7" t="s">
        <v>996</v>
      </c>
      <c r="C99" s="8"/>
      <c r="D99" s="9">
        <v>1000</v>
      </c>
      <c r="E99" s="10"/>
      <c r="F99" s="11">
        <f t="shared" si="0"/>
        <v>3621.38</v>
      </c>
      <c r="G99" s="11"/>
      <c r="H99" s="20"/>
      <c r="I99" s="139"/>
      <c r="J99" s="20"/>
      <c r="K99" s="20"/>
      <c r="L99" s="20"/>
      <c r="M99" s="20"/>
      <c r="N99" s="20"/>
    </row>
    <row r="100" customHeight="1" spans="1:14">
      <c r="A100" s="6"/>
      <c r="B100" s="7" t="s">
        <v>332</v>
      </c>
      <c r="C100" s="8" t="s">
        <v>210</v>
      </c>
      <c r="D100" s="9"/>
      <c r="E100" s="10">
        <v>410</v>
      </c>
      <c r="F100" s="11">
        <f t="shared" si="0"/>
        <v>3211.38</v>
      </c>
      <c r="G100" s="20"/>
      <c r="H100" s="20"/>
      <c r="I100" s="20"/>
      <c r="J100" s="20"/>
      <c r="K100" s="20"/>
      <c r="L100" s="20"/>
      <c r="M100" s="20"/>
      <c r="N100" s="20"/>
    </row>
    <row r="101" customHeight="1" spans="1:14">
      <c r="A101" s="6"/>
      <c r="B101" s="7" t="s">
        <v>997</v>
      </c>
      <c r="C101" s="8" t="s">
        <v>245</v>
      </c>
      <c r="D101" s="9"/>
      <c r="E101" s="10">
        <f>77+236</f>
        <v>313</v>
      </c>
      <c r="F101" s="11">
        <f t="shared" si="0"/>
        <v>2898.38</v>
      </c>
      <c r="G101" s="20"/>
      <c r="H101" s="20"/>
      <c r="J101" s="20"/>
      <c r="K101" s="20"/>
      <c r="L101" s="20"/>
      <c r="M101" s="20"/>
      <c r="N101" s="20"/>
    </row>
    <row r="102" customHeight="1" spans="1:14">
      <c r="A102" s="6"/>
      <c r="B102" s="7"/>
      <c r="C102" s="8"/>
      <c r="D102" s="9">
        <f>390</f>
        <v>390</v>
      </c>
      <c r="E102" s="10"/>
      <c r="F102" s="11">
        <f t="shared" si="0"/>
        <v>3288.38</v>
      </c>
      <c r="G102" s="11"/>
      <c r="H102" s="20"/>
      <c r="J102" s="20"/>
      <c r="K102" s="20"/>
      <c r="L102" s="20"/>
      <c r="M102" s="20"/>
      <c r="N102" s="20"/>
    </row>
    <row r="103" customHeight="1" spans="1:14">
      <c r="A103" s="6" t="s">
        <v>998</v>
      </c>
      <c r="B103" s="7" t="s">
        <v>999</v>
      </c>
      <c r="C103" s="8" t="s">
        <v>224</v>
      </c>
      <c r="D103" s="9"/>
      <c r="E103" s="10">
        <v>225</v>
      </c>
      <c r="F103" s="11">
        <f t="shared" si="0"/>
        <v>3063.38</v>
      </c>
      <c r="G103" s="20">
        <f>G104-F104</f>
        <v>0</v>
      </c>
      <c r="H103" s="20"/>
      <c r="J103" s="20"/>
      <c r="K103" s="20"/>
      <c r="L103" s="20"/>
      <c r="M103" s="20"/>
      <c r="N103" s="20"/>
    </row>
    <row r="104" customHeight="1" spans="1:14">
      <c r="A104" s="6"/>
      <c r="B104" s="37" t="s">
        <v>35</v>
      </c>
      <c r="C104" s="8"/>
      <c r="D104" s="9"/>
      <c r="E104" s="10">
        <f>483.9</f>
        <v>483.9</v>
      </c>
      <c r="F104" s="11">
        <f t="shared" si="0"/>
        <v>2579.48</v>
      </c>
      <c r="G104" s="11">
        <f>H104+I104+J104+K104+L104+M104+N104</f>
        <v>2579.48</v>
      </c>
      <c r="H104" s="20">
        <v>0</v>
      </c>
      <c r="I104">
        <f>489.84+325</f>
        <v>814.84</v>
      </c>
      <c r="J104" s="20">
        <v>1</v>
      </c>
      <c r="K104" s="20">
        <v>0</v>
      </c>
      <c r="L104" s="20">
        <f>985.64+510</f>
        <v>1495.64</v>
      </c>
      <c r="M104" s="20">
        <v>0</v>
      </c>
      <c r="N104" s="20">
        <f>200+40+28</f>
        <v>268</v>
      </c>
    </row>
    <row r="105" customHeight="1" spans="1:14">
      <c r="A105" s="22" t="s">
        <v>1000</v>
      </c>
      <c r="B105" s="23"/>
      <c r="C105" s="24" t="s">
        <v>219</v>
      </c>
      <c r="D105" s="25"/>
      <c r="E105" s="26">
        <v>200</v>
      </c>
      <c r="F105" s="27">
        <f t="shared" si="0"/>
        <v>2379.48</v>
      </c>
      <c r="G105" s="27"/>
      <c r="H105" s="38"/>
      <c r="I105" s="100"/>
      <c r="J105" s="38"/>
      <c r="K105" s="38"/>
      <c r="L105" s="38"/>
      <c r="M105" s="38"/>
      <c r="N105" s="38"/>
    </row>
    <row r="106" customHeight="1" spans="1:14">
      <c r="A106" s="6"/>
      <c r="B106" s="7" t="s">
        <v>268</v>
      </c>
      <c r="C106" s="8" t="s">
        <v>86</v>
      </c>
      <c r="D106" s="9"/>
      <c r="E106" s="10">
        <v>510</v>
      </c>
      <c r="F106" s="11">
        <f t="shared" si="0"/>
        <v>1869.48</v>
      </c>
      <c r="G106" s="15"/>
      <c r="H106" s="15"/>
      <c r="I106" s="15"/>
      <c r="J106" s="15"/>
      <c r="K106" s="15"/>
      <c r="L106" s="15"/>
      <c r="M106" s="15"/>
      <c r="N106" s="15"/>
    </row>
    <row r="107" customHeight="1" spans="1:14">
      <c r="A107" s="14"/>
      <c r="B107" s="16" t="s">
        <v>981</v>
      </c>
      <c r="C107" s="17" t="s">
        <v>214</v>
      </c>
      <c r="D107" s="18"/>
      <c r="E107" s="19">
        <v>325</v>
      </c>
      <c r="F107" s="11">
        <f t="shared" si="0"/>
        <v>1544.48</v>
      </c>
      <c r="G107" s="20"/>
      <c r="H107" s="20"/>
      <c r="J107" s="20"/>
      <c r="K107" s="20"/>
      <c r="L107" s="20"/>
      <c r="M107" s="20"/>
      <c r="N107" s="20"/>
    </row>
    <row r="108" customHeight="1" spans="1:14">
      <c r="A108" s="6"/>
      <c r="B108" s="7" t="s">
        <v>1001</v>
      </c>
      <c r="C108" s="8"/>
      <c r="D108" s="9">
        <f>250-50</f>
        <v>200</v>
      </c>
      <c r="E108" s="10"/>
      <c r="F108" s="11">
        <f t="shared" si="0"/>
        <v>1744.48</v>
      </c>
      <c r="G108" s="11"/>
      <c r="H108" s="20"/>
      <c r="J108" s="20"/>
      <c r="K108" s="20"/>
      <c r="L108" s="20"/>
      <c r="M108" s="20"/>
      <c r="N108" s="20"/>
    </row>
    <row r="109" customHeight="1" spans="1:14">
      <c r="A109" s="6"/>
      <c r="B109" s="7" t="s">
        <v>1002</v>
      </c>
      <c r="C109" s="8"/>
      <c r="D109" s="9">
        <v>500</v>
      </c>
      <c r="E109" s="10"/>
      <c r="F109" s="11">
        <f t="shared" si="0"/>
        <v>2244.48</v>
      </c>
      <c r="G109" s="11"/>
      <c r="H109" s="20"/>
      <c r="J109" s="20"/>
      <c r="K109" s="20"/>
      <c r="L109" s="20"/>
      <c r="M109" s="20"/>
      <c r="N109" s="20"/>
    </row>
    <row r="110" customHeight="1" spans="1:14">
      <c r="A110" s="6"/>
      <c r="B110" s="7" t="s">
        <v>1003</v>
      </c>
      <c r="C110" s="8" t="s">
        <v>224</v>
      </c>
      <c r="D110" s="9"/>
      <c r="E110" s="10">
        <v>80</v>
      </c>
      <c r="F110" s="11">
        <f t="shared" si="0"/>
        <v>2164.48</v>
      </c>
      <c r="G110" s="15"/>
      <c r="H110" s="15"/>
      <c r="I110" s="15"/>
      <c r="J110" s="15"/>
      <c r="K110" s="15"/>
      <c r="L110" s="15"/>
      <c r="M110" s="15"/>
      <c r="N110" s="15"/>
    </row>
    <row r="111" customHeight="1" spans="1:14">
      <c r="A111" s="14"/>
      <c r="B111" s="43" t="s">
        <v>22</v>
      </c>
      <c r="C111" s="8" t="s">
        <v>86</v>
      </c>
      <c r="D111" s="9"/>
      <c r="E111" s="10">
        <v>275</v>
      </c>
      <c r="F111" s="11">
        <f t="shared" si="0"/>
        <v>1889.48</v>
      </c>
      <c r="G111" s="15"/>
      <c r="H111" s="15"/>
      <c r="I111" s="15"/>
      <c r="J111" s="15"/>
      <c r="K111" s="15"/>
      <c r="L111" s="15"/>
      <c r="M111" s="15"/>
      <c r="N111" s="15"/>
    </row>
    <row r="112" customHeight="1" spans="1:14">
      <c r="A112" s="14"/>
      <c r="B112" s="43" t="s">
        <v>106</v>
      </c>
      <c r="C112" s="8" t="s">
        <v>27</v>
      </c>
      <c r="D112" s="9"/>
      <c r="E112" s="10">
        <v>24</v>
      </c>
      <c r="F112" s="11">
        <f t="shared" si="0"/>
        <v>1865.48</v>
      </c>
      <c r="G112" s="20">
        <f>G113-F113</f>
        <v>2.27373675443232e-12</v>
      </c>
      <c r="H112" s="20"/>
      <c r="J112" s="20"/>
      <c r="K112" s="20"/>
      <c r="L112" s="20"/>
      <c r="M112" s="20"/>
      <c r="N112" s="20"/>
    </row>
    <row r="113" customHeight="1" spans="1:14">
      <c r="A113" s="14"/>
      <c r="B113" s="135" t="s">
        <v>83</v>
      </c>
      <c r="C113" s="8"/>
      <c r="D113" s="9"/>
      <c r="E113" s="10">
        <v>-14</v>
      </c>
      <c r="F113" s="11">
        <f t="shared" si="0"/>
        <v>1879.48</v>
      </c>
      <c r="G113" s="11">
        <f>H113+I113+J113+K113+L113+M113+N113</f>
        <v>1879.48</v>
      </c>
      <c r="H113" s="20">
        <v>0</v>
      </c>
      <c r="I113">
        <v>489.84</v>
      </c>
      <c r="J113" s="20">
        <v>1</v>
      </c>
      <c r="K113" s="20">
        <v>0</v>
      </c>
      <c r="L113" s="20">
        <v>905.64</v>
      </c>
      <c r="M113" s="20">
        <v>0</v>
      </c>
      <c r="N113" s="20">
        <f>400+40+10+(5*3)+(2*3)*(1*3)</f>
        <v>483</v>
      </c>
    </row>
    <row r="114" customHeight="1" spans="1:14">
      <c r="A114" s="136" t="s">
        <v>1004</v>
      </c>
      <c r="B114" s="116" t="s">
        <v>1005</v>
      </c>
      <c r="C114" s="24"/>
      <c r="D114" s="25">
        <v>2000</v>
      </c>
      <c r="E114" s="26"/>
      <c r="F114" s="27">
        <f t="shared" si="0"/>
        <v>3879.48</v>
      </c>
      <c r="G114" s="63"/>
      <c r="H114" s="63"/>
      <c r="I114" s="63"/>
      <c r="J114" s="63"/>
      <c r="K114" s="63"/>
      <c r="L114" s="63"/>
      <c r="M114" s="63"/>
      <c r="N114" s="63"/>
    </row>
    <row r="115" customHeight="1" spans="1:14">
      <c r="A115" s="14"/>
      <c r="B115" s="43" t="s">
        <v>1006</v>
      </c>
      <c r="C115" s="8" t="s">
        <v>219</v>
      </c>
      <c r="D115" s="9"/>
      <c r="E115" s="10">
        <v>180</v>
      </c>
      <c r="F115" s="11">
        <f t="shared" si="0"/>
        <v>3699.48</v>
      </c>
      <c r="G115" s="15"/>
      <c r="H115" s="15"/>
      <c r="I115" s="15"/>
      <c r="J115" s="15"/>
      <c r="K115" s="15"/>
      <c r="L115" s="15"/>
      <c r="M115" s="15"/>
      <c r="N115" s="15"/>
    </row>
    <row r="116" customHeight="1" spans="1:14">
      <c r="A116" s="14"/>
      <c r="B116" s="43" t="s">
        <v>1007</v>
      </c>
      <c r="C116" s="8" t="s">
        <v>219</v>
      </c>
      <c r="D116" s="9"/>
      <c r="E116" s="10">
        <v>500</v>
      </c>
      <c r="F116" s="11">
        <f t="shared" si="0"/>
        <v>3199.48</v>
      </c>
      <c r="G116" s="21"/>
      <c r="H116" s="15"/>
      <c r="I116" s="15"/>
      <c r="J116" s="15"/>
      <c r="K116" s="15"/>
      <c r="L116" s="15"/>
      <c r="M116" s="15"/>
      <c r="N116" s="15"/>
    </row>
    <row r="117" customHeight="1" spans="1:14">
      <c r="A117" s="14"/>
      <c r="B117" s="43" t="s">
        <v>531</v>
      </c>
      <c r="C117" s="8" t="s">
        <v>224</v>
      </c>
      <c r="D117" s="9"/>
      <c r="E117" s="10">
        <v>19</v>
      </c>
      <c r="F117" s="11">
        <f t="shared" si="0"/>
        <v>3180.48</v>
      </c>
      <c r="G117" s="20">
        <f>G118-F118</f>
        <v>0</v>
      </c>
      <c r="H117" s="20"/>
      <c r="J117" s="20"/>
      <c r="K117" s="20"/>
      <c r="L117" s="20"/>
      <c r="M117" s="20"/>
      <c r="N117" s="20"/>
    </row>
    <row r="118" customHeight="1" spans="1:14">
      <c r="A118" s="14"/>
      <c r="B118" s="43" t="s">
        <v>33</v>
      </c>
      <c r="C118" s="8" t="s">
        <v>201</v>
      </c>
      <c r="D118" s="9"/>
      <c r="E118" s="10">
        <v>210</v>
      </c>
      <c r="F118" s="11">
        <f t="shared" si="0"/>
        <v>2970.48</v>
      </c>
      <c r="G118" s="11">
        <f>H118+I118+J118+K118+L118+M118+N118</f>
        <v>2970.48</v>
      </c>
      <c r="H118" s="20">
        <v>0</v>
      </c>
      <c r="I118">
        <v>489.84</v>
      </c>
      <c r="J118" s="20">
        <v>1</v>
      </c>
      <c r="K118" s="20">
        <v>0</v>
      </c>
      <c r="L118" s="20">
        <f>905.64-500-19</f>
        <v>386.64</v>
      </c>
      <c r="M118" s="20">
        <v>0</v>
      </c>
      <c r="N118" s="20">
        <f>1500+500+60+(5*3)+(2*3)*(1*3)</f>
        <v>2093</v>
      </c>
    </row>
    <row r="119" customHeight="1" spans="1:14">
      <c r="A119" s="136" t="s">
        <v>1008</v>
      </c>
      <c r="B119" s="137" t="s">
        <v>1009</v>
      </c>
      <c r="C119" s="96" t="s">
        <v>27</v>
      </c>
      <c r="D119" s="97"/>
      <c r="E119" s="98">
        <v>375</v>
      </c>
      <c r="F119" s="27">
        <f t="shared" si="0"/>
        <v>2595.48</v>
      </c>
      <c r="G119" s="27"/>
      <c r="H119" s="38"/>
      <c r="I119" s="100"/>
      <c r="J119" s="38"/>
      <c r="K119" s="38"/>
      <c r="L119" s="38"/>
      <c r="M119" s="38"/>
      <c r="N119" s="38"/>
    </row>
    <row r="120" customHeight="1" spans="1:14">
      <c r="A120" s="14"/>
      <c r="B120" s="7" t="s">
        <v>1010</v>
      </c>
      <c r="C120" s="8" t="s">
        <v>27</v>
      </c>
      <c r="D120" s="9"/>
      <c r="E120" s="10">
        <v>255</v>
      </c>
      <c r="F120" s="11">
        <f t="shared" si="0"/>
        <v>2340.48</v>
      </c>
      <c r="G120" s="15"/>
      <c r="H120" s="15"/>
      <c r="I120" s="15"/>
      <c r="J120" s="15"/>
      <c r="K120" s="15"/>
      <c r="L120" s="15"/>
      <c r="M120" s="15"/>
      <c r="N120" s="15"/>
    </row>
    <row r="121" customHeight="1" spans="1:14">
      <c r="A121" s="14"/>
      <c r="B121" s="7" t="s">
        <v>129</v>
      </c>
      <c r="C121" s="8" t="s">
        <v>210</v>
      </c>
      <c r="D121" s="9"/>
      <c r="E121" s="10">
        <v>300</v>
      </c>
      <c r="F121" s="11">
        <f t="shared" si="0"/>
        <v>2040.48</v>
      </c>
      <c r="G121" s="20"/>
      <c r="H121" s="20"/>
      <c r="I121" s="20"/>
      <c r="J121" s="20"/>
      <c r="K121" s="20"/>
      <c r="L121" s="20"/>
      <c r="M121" s="20"/>
      <c r="N121" s="20"/>
    </row>
    <row r="122" customHeight="1" spans="1:14">
      <c r="A122" s="14"/>
      <c r="B122" s="16" t="s">
        <v>37</v>
      </c>
      <c r="C122" s="17" t="s">
        <v>86</v>
      </c>
      <c r="D122" s="18"/>
      <c r="E122" s="19">
        <v>156.45</v>
      </c>
      <c r="F122" s="11">
        <f t="shared" si="0"/>
        <v>1884.03</v>
      </c>
      <c r="G122" s="20">
        <f>G123-F123</f>
        <v>2.27373675443232e-12</v>
      </c>
      <c r="H122" s="20"/>
      <c r="J122" s="20"/>
      <c r="K122" s="20"/>
      <c r="L122" s="20"/>
      <c r="M122" s="20"/>
      <c r="N122" s="20"/>
    </row>
    <row r="123" customHeight="1" spans="1:14">
      <c r="A123" s="14"/>
      <c r="B123" s="7" t="s">
        <v>1011</v>
      </c>
      <c r="C123" s="8" t="s">
        <v>210</v>
      </c>
      <c r="D123" s="9"/>
      <c r="E123" s="10">
        <v>120</v>
      </c>
      <c r="F123" s="11">
        <f t="shared" si="0"/>
        <v>1764.03</v>
      </c>
      <c r="G123" s="11">
        <f>H123+I123+J123+K123+L123+M123+N123</f>
        <v>1764.03</v>
      </c>
      <c r="H123" s="20">
        <v>0</v>
      </c>
      <c r="I123">
        <v>59.39</v>
      </c>
      <c r="J123" s="20">
        <v>1</v>
      </c>
      <c r="K123" s="20">
        <v>0</v>
      </c>
      <c r="L123" s="20">
        <f>905.64-500-19-100</f>
        <v>286.64</v>
      </c>
      <c r="M123" s="20">
        <v>0</v>
      </c>
      <c r="N123" s="20">
        <v>1417</v>
      </c>
    </row>
    <row r="124" customHeight="1" spans="1:14">
      <c r="A124" s="136"/>
      <c r="B124" s="23"/>
      <c r="C124" s="24"/>
      <c r="D124" s="25"/>
      <c r="E124" s="26"/>
      <c r="F124" s="27">
        <f t="shared" si="0"/>
        <v>1764.03</v>
      </c>
      <c r="G124" s="38"/>
      <c r="H124" s="38"/>
      <c r="I124" s="38"/>
      <c r="J124" s="38"/>
      <c r="K124" s="38"/>
      <c r="L124" s="38"/>
      <c r="M124" s="38"/>
      <c r="N124" s="38"/>
    </row>
    <row r="125" customHeight="1" spans="1:14">
      <c r="A125" s="14"/>
      <c r="B125" s="7"/>
      <c r="C125" s="8"/>
      <c r="D125" s="9"/>
      <c r="E125" s="10"/>
      <c r="F125" s="11">
        <f t="shared" si="0"/>
        <v>1764.03</v>
      </c>
      <c r="G125" s="11"/>
      <c r="H125" s="20"/>
      <c r="I125" s="20"/>
      <c r="J125" s="20"/>
      <c r="K125" s="20"/>
      <c r="L125" s="20"/>
      <c r="M125" s="20"/>
      <c r="N125" s="20"/>
    </row>
    <row r="126" customHeight="1" spans="1:14">
      <c r="A126" s="14"/>
      <c r="B126" s="7"/>
      <c r="C126" s="8"/>
      <c r="D126" s="9"/>
      <c r="E126" s="10"/>
      <c r="F126" s="11">
        <f t="shared" si="0"/>
        <v>1764.03</v>
      </c>
      <c r="G126" s="15"/>
      <c r="H126" s="15"/>
      <c r="I126" s="15"/>
      <c r="J126" s="15"/>
      <c r="K126" s="15"/>
      <c r="L126" s="15"/>
      <c r="M126" s="15"/>
      <c r="N126" s="15"/>
    </row>
    <row r="127" customHeight="1" spans="1:14">
      <c r="A127" s="14"/>
      <c r="B127" s="7"/>
      <c r="C127" s="8"/>
      <c r="D127" s="9"/>
      <c r="E127" s="10"/>
      <c r="F127" s="11">
        <f t="shared" si="0"/>
        <v>1764.03</v>
      </c>
      <c r="G127" s="20"/>
      <c r="H127" s="20"/>
      <c r="J127" s="20"/>
      <c r="K127" s="20"/>
      <c r="L127" s="20"/>
      <c r="M127" s="20"/>
      <c r="N127" s="20"/>
    </row>
    <row r="128" customHeight="1" spans="1:14">
      <c r="A128" s="14"/>
      <c r="B128" s="7"/>
      <c r="C128" s="8"/>
      <c r="D128" s="9"/>
      <c r="E128" s="10"/>
      <c r="F128" s="11">
        <f t="shared" si="0"/>
        <v>1764.03</v>
      </c>
      <c r="G128" s="11"/>
      <c r="H128" s="20"/>
      <c r="J128" s="20"/>
      <c r="K128" s="20"/>
      <c r="L128" s="20"/>
      <c r="M128" s="20"/>
      <c r="N128" s="20"/>
    </row>
    <row r="129" customHeight="1" spans="1:14">
      <c r="A129" s="14"/>
      <c r="B129" s="7"/>
      <c r="C129" s="8"/>
      <c r="D129" s="9"/>
      <c r="E129" s="10"/>
      <c r="F129" s="11">
        <f t="shared" si="0"/>
        <v>1764.03</v>
      </c>
      <c r="G129" s="12"/>
      <c r="H129" s="12"/>
      <c r="I129" s="12"/>
      <c r="J129" s="12"/>
      <c r="K129" s="12"/>
      <c r="L129" s="12"/>
      <c r="M129" s="12"/>
      <c r="N129" s="12"/>
    </row>
    <row r="130" customHeight="1" spans="1:14">
      <c r="A130" s="14"/>
      <c r="B130" s="7"/>
      <c r="C130" s="8"/>
      <c r="D130" s="9"/>
      <c r="E130" s="10"/>
      <c r="F130" s="11">
        <f t="shared" si="0"/>
        <v>1764.03</v>
      </c>
      <c r="G130" s="20"/>
      <c r="H130" s="20"/>
      <c r="J130" s="20"/>
      <c r="K130" s="20"/>
      <c r="L130" s="20"/>
      <c r="M130" s="20"/>
      <c r="N130" s="20"/>
    </row>
    <row r="131" customHeight="1" spans="1:14">
      <c r="A131" s="14"/>
      <c r="B131" s="7"/>
      <c r="C131" s="8"/>
      <c r="D131" s="9"/>
      <c r="E131" s="10"/>
      <c r="F131" s="11">
        <f t="shared" si="0"/>
        <v>1764.03</v>
      </c>
      <c r="G131" s="11"/>
      <c r="H131" s="20"/>
      <c r="J131" s="20"/>
      <c r="K131" s="20"/>
      <c r="L131" s="20"/>
      <c r="M131" s="20"/>
      <c r="N131" s="20"/>
    </row>
    <row r="132" customHeight="1" spans="1:14">
      <c r="A132" s="14"/>
      <c r="B132" s="7"/>
      <c r="C132" s="8"/>
      <c r="D132" s="9"/>
      <c r="E132" s="10"/>
      <c r="F132" s="11">
        <f t="shared" si="0"/>
        <v>1764.03</v>
      </c>
      <c r="G132" s="20"/>
      <c r="H132" s="20"/>
      <c r="I132" s="20"/>
      <c r="J132" s="20"/>
      <c r="K132" s="20"/>
      <c r="L132" s="20"/>
      <c r="M132" s="20"/>
      <c r="N132" s="20"/>
    </row>
    <row r="133" customHeight="1" spans="1:14">
      <c r="A133" s="14"/>
      <c r="B133" s="7"/>
      <c r="C133" s="8"/>
      <c r="D133" s="9"/>
      <c r="E133" s="10"/>
      <c r="F133" s="11">
        <f t="shared" si="0"/>
        <v>1764.03</v>
      </c>
      <c r="G133" s="11"/>
      <c r="H133" s="20"/>
      <c r="J133" s="20"/>
      <c r="K133" s="20"/>
      <c r="L133" s="20"/>
      <c r="M133" s="20"/>
      <c r="N133" s="20"/>
    </row>
    <row r="134" customHeight="1" spans="1:14">
      <c r="A134" s="14"/>
      <c r="B134" s="7"/>
      <c r="C134" s="8"/>
      <c r="D134" s="9"/>
      <c r="E134" s="10"/>
      <c r="F134" s="11">
        <f t="shared" si="0"/>
        <v>1764.03</v>
      </c>
      <c r="G134" s="15"/>
      <c r="H134" s="15"/>
      <c r="I134" s="15"/>
      <c r="J134" s="15"/>
      <c r="K134" s="15"/>
      <c r="L134" s="15"/>
      <c r="M134" s="15"/>
      <c r="N134" s="15"/>
    </row>
    <row r="135" customHeight="1" spans="1:14">
      <c r="A135" s="14"/>
      <c r="B135" s="7"/>
      <c r="C135" s="8"/>
      <c r="D135" s="9"/>
      <c r="E135" s="10"/>
      <c r="F135" s="11">
        <f t="shared" si="0"/>
        <v>1764.03</v>
      </c>
      <c r="G135" s="15"/>
      <c r="H135" s="15"/>
      <c r="I135" s="15"/>
      <c r="J135" s="15"/>
      <c r="K135" s="15"/>
      <c r="L135" s="15"/>
      <c r="M135" s="15"/>
      <c r="N135" s="15"/>
    </row>
    <row r="136" customHeight="1" spans="1:14">
      <c r="A136" s="14"/>
      <c r="B136" s="7"/>
      <c r="C136" s="8"/>
      <c r="D136" s="9"/>
      <c r="E136" s="10"/>
      <c r="F136" s="11">
        <f t="shared" si="0"/>
        <v>1764.03</v>
      </c>
      <c r="G136" s="140"/>
      <c r="H136" s="141"/>
      <c r="I136" s="140"/>
      <c r="J136" s="140"/>
      <c r="K136" s="140"/>
      <c r="L136" s="140"/>
      <c r="M136" s="140"/>
      <c r="N136" s="15"/>
    </row>
    <row r="137" customHeight="1" spans="1:14">
      <c r="A137" s="14"/>
      <c r="B137" s="7"/>
      <c r="C137" s="8"/>
      <c r="D137" s="9"/>
      <c r="E137" s="10"/>
      <c r="F137" s="11">
        <f t="shared" si="0"/>
        <v>1764.03</v>
      </c>
      <c r="G137" s="12"/>
      <c r="H137" s="12"/>
      <c r="I137" s="12"/>
      <c r="J137" s="64"/>
      <c r="K137" s="12"/>
      <c r="L137" s="12"/>
      <c r="M137" s="12"/>
      <c r="N137" s="12"/>
    </row>
    <row r="138" customHeight="1" spans="1:14">
      <c r="A138" s="14"/>
      <c r="B138" s="7"/>
      <c r="C138" s="8"/>
      <c r="D138" s="9"/>
      <c r="E138" s="10"/>
      <c r="F138" s="11">
        <f t="shared" si="0"/>
        <v>1764.03</v>
      </c>
      <c r="G138" s="142"/>
      <c r="H138" s="143"/>
      <c r="I138" s="143"/>
      <c r="J138" s="143"/>
      <c r="K138" s="143"/>
      <c r="L138" s="143"/>
      <c r="M138" s="143"/>
      <c r="N138" s="142"/>
    </row>
    <row r="139" customHeight="1" spans="1:14">
      <c r="A139" s="14"/>
      <c r="B139" s="7"/>
      <c r="C139" s="8"/>
      <c r="D139" s="9"/>
      <c r="E139" s="10"/>
      <c r="F139" s="11">
        <f t="shared" si="0"/>
        <v>1764.03</v>
      </c>
      <c r="G139" s="142"/>
      <c r="H139" s="143"/>
      <c r="I139" s="143"/>
      <c r="J139" s="143"/>
      <c r="K139" s="143"/>
      <c r="L139" s="143"/>
      <c r="M139" s="143"/>
      <c r="N139" s="142"/>
    </row>
    <row r="140" customHeight="1" spans="1:14">
      <c r="A140" s="14"/>
      <c r="B140" s="7"/>
      <c r="C140" s="8"/>
      <c r="D140" s="9"/>
      <c r="E140" s="10"/>
      <c r="F140" s="11">
        <f t="shared" si="0"/>
        <v>1764.03</v>
      </c>
      <c r="G140" s="12"/>
      <c r="H140" s="12"/>
      <c r="I140" s="12"/>
      <c r="J140" s="12"/>
      <c r="K140" s="12"/>
      <c r="L140" s="12"/>
      <c r="M140" s="12"/>
      <c r="N140" s="12"/>
    </row>
    <row r="141" customHeight="1" spans="1:14">
      <c r="A141" s="14"/>
      <c r="B141" s="7"/>
      <c r="C141" s="8"/>
      <c r="D141" s="9"/>
      <c r="E141" s="10"/>
      <c r="F141" s="11">
        <f t="shared" si="0"/>
        <v>1764.03</v>
      </c>
      <c r="G141" s="21"/>
      <c r="H141" s="15"/>
      <c r="I141" s="13"/>
      <c r="J141" s="15"/>
      <c r="K141" s="15"/>
      <c r="L141" s="20"/>
      <c r="M141" s="15"/>
      <c r="N141" s="15"/>
    </row>
    <row r="142" customHeight="1" spans="1:14">
      <c r="A142" s="14"/>
      <c r="B142" s="7"/>
      <c r="C142" s="8"/>
      <c r="D142" s="9"/>
      <c r="E142" s="10"/>
      <c r="F142" s="11">
        <f t="shared" si="0"/>
        <v>1764.03</v>
      </c>
      <c r="G142" s="12"/>
      <c r="H142" s="13"/>
      <c r="I142" s="13"/>
      <c r="J142" s="13"/>
      <c r="K142" s="13"/>
      <c r="L142" s="13"/>
      <c r="M142" s="13"/>
      <c r="N142" s="13"/>
    </row>
    <row r="143" customHeight="1" spans="1:14">
      <c r="A143" s="14"/>
      <c r="B143" s="7"/>
      <c r="C143" s="8"/>
      <c r="D143" s="9"/>
      <c r="E143" s="10"/>
      <c r="F143" s="11">
        <f t="shared" si="0"/>
        <v>1764.03</v>
      </c>
      <c r="G143" s="20"/>
      <c r="H143" s="20"/>
      <c r="I143" s="20"/>
      <c r="J143" s="20"/>
      <c r="K143" s="20"/>
      <c r="L143" s="20"/>
      <c r="M143" s="20"/>
      <c r="N143" s="20"/>
    </row>
    <row r="144" customHeight="1" spans="1:14">
      <c r="A144" s="14"/>
      <c r="B144" s="7"/>
      <c r="C144" s="8"/>
      <c r="D144" s="9"/>
      <c r="E144" s="10"/>
      <c r="F144" s="11">
        <f t="shared" si="0"/>
        <v>1764.03</v>
      </c>
      <c r="G144" s="11"/>
      <c r="H144" s="20"/>
      <c r="I144" s="20"/>
      <c r="J144" s="20"/>
      <c r="K144" s="20"/>
      <c r="L144" s="20"/>
      <c r="M144" s="20"/>
      <c r="N144" s="20"/>
    </row>
    <row r="145" customHeight="1" spans="1:14">
      <c r="A145" s="14"/>
      <c r="B145" s="7"/>
      <c r="C145" s="8"/>
      <c r="D145" s="9"/>
      <c r="E145" s="10"/>
      <c r="F145" s="11">
        <f t="shared" si="0"/>
        <v>1764.03</v>
      </c>
      <c r="G145" s="12"/>
      <c r="H145" s="12"/>
      <c r="I145" s="12"/>
      <c r="J145" s="12"/>
      <c r="K145" s="12"/>
      <c r="L145" s="12"/>
      <c r="M145" s="12"/>
      <c r="N145" s="12"/>
    </row>
    <row r="146" customHeight="1" spans="1:14">
      <c r="A146" s="14"/>
      <c r="B146" s="7"/>
      <c r="C146" s="8"/>
      <c r="D146" s="9"/>
      <c r="E146" s="10"/>
      <c r="F146" s="11">
        <f t="shared" si="0"/>
        <v>1764.03</v>
      </c>
      <c r="G146" s="20"/>
      <c r="H146" s="20"/>
      <c r="I146" s="20"/>
      <c r="J146" s="20"/>
      <c r="K146" s="20"/>
      <c r="L146" s="20"/>
      <c r="M146" s="20"/>
      <c r="N146" s="20"/>
    </row>
    <row r="147" customHeight="1" spans="1:14">
      <c r="A147" s="14"/>
      <c r="B147" s="7"/>
      <c r="C147" s="8"/>
      <c r="D147" s="9"/>
      <c r="E147" s="10"/>
      <c r="F147" s="11">
        <f t="shared" si="0"/>
        <v>1764.03</v>
      </c>
      <c r="G147" s="11"/>
      <c r="H147" s="20"/>
      <c r="I147" s="13"/>
      <c r="J147" s="20"/>
      <c r="K147" s="20"/>
      <c r="L147" s="20"/>
      <c r="M147" s="20"/>
      <c r="N147" s="20"/>
    </row>
    <row r="148" customHeight="1" spans="1:14">
      <c r="A148" s="14"/>
      <c r="B148" s="7"/>
      <c r="C148" s="8"/>
      <c r="D148" s="9"/>
      <c r="E148" s="10"/>
      <c r="F148" s="11">
        <f t="shared" si="0"/>
        <v>1764.03</v>
      </c>
      <c r="G148" s="12"/>
      <c r="H148" s="12"/>
      <c r="I148" s="12"/>
      <c r="J148" s="12"/>
      <c r="K148" s="12"/>
      <c r="L148" s="12"/>
      <c r="M148" s="12"/>
      <c r="N148" s="12"/>
    </row>
    <row r="149" customHeight="1" spans="1:14">
      <c r="A149" s="14"/>
      <c r="B149" s="7"/>
      <c r="C149" s="8"/>
      <c r="D149" s="9"/>
      <c r="E149" s="10"/>
      <c r="F149" s="11">
        <f t="shared" si="0"/>
        <v>1764.03</v>
      </c>
      <c r="G149" s="142"/>
      <c r="H149" s="143"/>
      <c r="I149" s="143"/>
      <c r="J149" s="143"/>
      <c r="K149" s="143"/>
      <c r="L149" s="143"/>
      <c r="M149" s="143"/>
      <c r="N149" s="142"/>
    </row>
    <row r="150" customHeight="1" spans="1:14">
      <c r="A150" s="14"/>
      <c r="B150" s="7"/>
      <c r="C150" s="8"/>
      <c r="D150" s="9"/>
      <c r="E150" s="10"/>
      <c r="F150" s="11">
        <f t="shared" si="0"/>
        <v>1764.03</v>
      </c>
      <c r="G150" s="20"/>
      <c r="H150" s="20"/>
      <c r="I150" s="20"/>
      <c r="J150" s="20"/>
      <c r="K150" s="20"/>
      <c r="L150" s="12"/>
      <c r="M150" s="20"/>
      <c r="N150" s="20"/>
    </row>
    <row r="151" customHeight="1" spans="1:14">
      <c r="A151" s="14"/>
      <c r="B151" s="7"/>
      <c r="C151" s="8"/>
      <c r="D151" s="9"/>
      <c r="E151" s="10"/>
      <c r="F151" s="11">
        <f t="shared" si="0"/>
        <v>1764.03</v>
      </c>
      <c r="G151" s="12"/>
      <c r="H151" s="12"/>
      <c r="I151" s="12"/>
      <c r="J151" s="12"/>
      <c r="K151" s="12"/>
      <c r="L151" s="12"/>
      <c r="M151" s="12"/>
      <c r="N151" s="12"/>
    </row>
    <row r="152" customHeight="1" spans="1:14">
      <c r="A152" s="14"/>
      <c r="B152" s="7"/>
      <c r="C152" s="8"/>
      <c r="D152" s="9"/>
      <c r="E152" s="10"/>
      <c r="F152" s="11">
        <f t="shared" si="0"/>
        <v>1764.03</v>
      </c>
      <c r="G152" s="12"/>
      <c r="H152" s="12"/>
      <c r="I152" s="12"/>
      <c r="J152" s="12"/>
      <c r="K152" s="12"/>
      <c r="L152" s="12"/>
      <c r="M152" s="12"/>
      <c r="N152" s="12"/>
    </row>
    <row r="153" customHeight="1" spans="1:14">
      <c r="A153" s="14"/>
      <c r="B153" s="7"/>
      <c r="C153" s="8"/>
      <c r="D153" s="9"/>
      <c r="E153" s="10"/>
      <c r="F153" s="11">
        <f t="shared" si="0"/>
        <v>1764.03</v>
      </c>
      <c r="G153" s="15"/>
      <c r="H153" s="15"/>
      <c r="I153" s="15"/>
      <c r="J153" s="15"/>
      <c r="K153" s="15"/>
      <c r="L153" s="15"/>
      <c r="M153" s="15"/>
      <c r="N153" s="13"/>
    </row>
    <row r="154" customHeight="1" spans="1:14">
      <c r="A154" s="14"/>
      <c r="B154" s="7"/>
      <c r="C154" s="8"/>
      <c r="D154" s="9"/>
      <c r="E154" s="10"/>
      <c r="F154" s="11">
        <f t="shared" si="0"/>
        <v>1764.03</v>
      </c>
      <c r="G154" s="15"/>
      <c r="H154" s="15"/>
      <c r="I154" s="15"/>
      <c r="J154" s="15"/>
      <c r="K154" s="15"/>
      <c r="L154" s="15"/>
      <c r="M154" s="15"/>
      <c r="N154" s="15"/>
    </row>
    <row r="155" customHeight="1" spans="1:14">
      <c r="A155" s="14"/>
      <c r="B155" s="7"/>
      <c r="C155" s="8"/>
      <c r="D155" s="9"/>
      <c r="E155" s="10"/>
      <c r="F155" s="11">
        <f t="shared" si="0"/>
        <v>1764.03</v>
      </c>
      <c r="G155" s="15"/>
      <c r="H155" s="15"/>
      <c r="I155" s="15"/>
      <c r="J155" s="15"/>
      <c r="K155" s="15"/>
      <c r="L155" s="15"/>
      <c r="M155" s="15"/>
      <c r="N155" s="15"/>
    </row>
    <row r="156" customHeight="1" spans="1:14">
      <c r="A156" s="14"/>
      <c r="B156" s="7"/>
      <c r="C156" s="8"/>
      <c r="D156" s="9"/>
      <c r="E156" s="10"/>
      <c r="F156" s="11">
        <f t="shared" si="0"/>
        <v>1764.03</v>
      </c>
      <c r="G156" s="12"/>
      <c r="H156" s="12"/>
      <c r="I156" s="12"/>
      <c r="J156" s="12"/>
      <c r="K156" s="12"/>
      <c r="L156" s="12"/>
      <c r="M156" s="12"/>
      <c r="N156" s="12"/>
    </row>
    <row r="157" customHeight="1" spans="1:14">
      <c r="A157" s="14"/>
      <c r="B157" s="7"/>
      <c r="C157" s="8"/>
      <c r="D157" s="9"/>
      <c r="E157" s="10"/>
      <c r="F157" s="11">
        <f t="shared" si="0"/>
        <v>1764.03</v>
      </c>
      <c r="G157" s="12"/>
      <c r="H157" s="12"/>
      <c r="I157" s="12"/>
      <c r="J157" s="12"/>
      <c r="K157" s="12"/>
      <c r="L157" s="12"/>
      <c r="M157" s="12"/>
      <c r="N157" s="12"/>
    </row>
    <row r="158" customHeight="1" spans="1:14">
      <c r="A158" s="14"/>
      <c r="B158" s="7"/>
      <c r="C158" s="8"/>
      <c r="D158" s="9"/>
      <c r="E158" s="10"/>
      <c r="F158" s="11">
        <f t="shared" si="0"/>
        <v>1764.03</v>
      </c>
      <c r="G158" s="21"/>
      <c r="H158" s="15"/>
      <c r="I158" s="13"/>
      <c r="J158" s="15"/>
      <c r="K158" s="15"/>
      <c r="L158" s="20"/>
      <c r="M158" s="15"/>
      <c r="N158" s="15"/>
    </row>
    <row r="159" customHeight="1" spans="1:14">
      <c r="A159" s="14"/>
      <c r="B159" s="7"/>
      <c r="C159" s="8"/>
      <c r="D159" s="9"/>
      <c r="E159" s="10"/>
      <c r="F159" s="11">
        <f t="shared" si="0"/>
        <v>1764.03</v>
      </c>
      <c r="G159" s="15"/>
      <c r="H159" s="15"/>
      <c r="I159" s="15"/>
      <c r="J159" s="15"/>
      <c r="K159" s="15"/>
      <c r="L159" s="15"/>
      <c r="M159" s="15"/>
      <c r="N159" s="15"/>
    </row>
    <row r="160" customHeight="1" spans="1:14">
      <c r="A160" s="14"/>
      <c r="B160" s="7"/>
      <c r="C160" s="8"/>
      <c r="D160" s="9"/>
      <c r="E160" s="10"/>
      <c r="F160" s="11">
        <f t="shared" si="0"/>
        <v>1764.03</v>
      </c>
      <c r="G160" s="20"/>
      <c r="H160" s="20"/>
      <c r="I160" s="20"/>
      <c r="J160" s="20"/>
      <c r="K160" s="20"/>
      <c r="L160" s="12"/>
      <c r="M160" s="20"/>
      <c r="N160" s="20"/>
    </row>
    <row r="161" customHeight="1" spans="1:14">
      <c r="A161" s="14"/>
      <c r="B161" s="7"/>
      <c r="C161" s="8"/>
      <c r="D161" s="9"/>
      <c r="E161" s="10"/>
      <c r="F161" s="11">
        <f t="shared" si="0"/>
        <v>1764.03</v>
      </c>
      <c r="G161" s="12"/>
      <c r="H161" s="12"/>
      <c r="I161" s="12"/>
      <c r="J161" s="12"/>
      <c r="K161" s="12"/>
      <c r="L161" s="12"/>
      <c r="M161" s="12"/>
      <c r="N161" s="12"/>
    </row>
    <row r="162" customHeight="1" spans="1:14">
      <c r="A162" s="14"/>
      <c r="B162" s="7"/>
      <c r="C162" s="8"/>
      <c r="D162" s="9"/>
      <c r="E162" s="10"/>
      <c r="F162" s="11">
        <f t="shared" si="0"/>
        <v>1764.03</v>
      </c>
      <c r="G162" s="12"/>
      <c r="H162" s="12"/>
      <c r="I162" s="12"/>
      <c r="J162" s="12"/>
      <c r="K162" s="12"/>
      <c r="L162" s="12"/>
      <c r="M162" s="12"/>
      <c r="N162" s="12"/>
    </row>
    <row r="163" customHeight="1" spans="1:14">
      <c r="A163" s="14"/>
      <c r="B163" s="7"/>
      <c r="C163" s="8"/>
      <c r="D163" s="9"/>
      <c r="E163" s="10"/>
      <c r="F163" s="11">
        <f t="shared" si="0"/>
        <v>1764.03</v>
      </c>
      <c r="G163" s="12"/>
      <c r="H163" s="12"/>
      <c r="I163" s="12"/>
      <c r="J163" s="12"/>
      <c r="K163" s="12"/>
      <c r="L163" s="12"/>
      <c r="M163" s="12"/>
      <c r="N163" s="12"/>
    </row>
    <row r="164" customHeight="1" spans="1:14">
      <c r="A164" s="14"/>
      <c r="B164" s="7"/>
      <c r="C164" s="8"/>
      <c r="D164" s="9"/>
      <c r="E164" s="10"/>
      <c r="F164" s="11">
        <f t="shared" si="0"/>
        <v>1764.03</v>
      </c>
      <c r="G164" s="21"/>
      <c r="H164" s="15"/>
      <c r="I164" s="13"/>
      <c r="J164" s="15"/>
      <c r="K164" s="15"/>
      <c r="L164" s="20"/>
      <c r="M164" s="15"/>
      <c r="N164" s="15"/>
    </row>
    <row r="165" customHeight="1" spans="1:14">
      <c r="A165" s="14"/>
      <c r="B165" s="7"/>
      <c r="C165" s="8"/>
      <c r="D165" s="9"/>
      <c r="E165" s="10"/>
      <c r="F165" s="11">
        <f t="shared" si="0"/>
        <v>1764.03</v>
      </c>
      <c r="G165" s="12"/>
      <c r="H165" s="13"/>
      <c r="I165" s="13"/>
      <c r="J165" s="13"/>
      <c r="K165" s="13"/>
      <c r="L165" s="13"/>
      <c r="M165" s="13"/>
      <c r="N165" s="13"/>
    </row>
    <row r="166" customHeight="1" spans="1:14">
      <c r="A166" s="14"/>
      <c r="B166" s="7"/>
      <c r="C166" s="8"/>
      <c r="D166" s="9"/>
      <c r="E166" s="10"/>
      <c r="F166" s="11">
        <f t="shared" si="0"/>
        <v>1764.03</v>
      </c>
      <c r="G166" s="20"/>
      <c r="H166" s="20"/>
      <c r="I166" s="20"/>
      <c r="J166" s="20"/>
      <c r="K166" s="20"/>
      <c r="L166" s="12"/>
      <c r="M166" s="20"/>
      <c r="N166" s="20"/>
    </row>
    <row r="167" customHeight="1" spans="1:14">
      <c r="A167" s="14"/>
      <c r="B167" s="7"/>
      <c r="C167" s="8"/>
      <c r="D167" s="9"/>
      <c r="E167" s="10"/>
      <c r="F167" s="11">
        <f t="shared" si="0"/>
        <v>1764.03</v>
      </c>
      <c r="G167" s="142"/>
      <c r="H167" s="143"/>
      <c r="I167" s="143"/>
      <c r="J167" s="143"/>
      <c r="K167" s="143"/>
      <c r="L167" s="143"/>
      <c r="M167" s="143"/>
      <c r="N167" s="143"/>
    </row>
    <row r="168" customHeight="1" spans="1:14">
      <c r="A168" s="14"/>
      <c r="B168" s="7"/>
      <c r="C168" s="8"/>
      <c r="D168" s="9"/>
      <c r="E168" s="10"/>
      <c r="F168" s="11">
        <f t="shared" si="0"/>
        <v>1764.03</v>
      </c>
      <c r="G168" s="12"/>
      <c r="H168" s="12"/>
      <c r="I168" s="12"/>
      <c r="J168" s="12"/>
      <c r="K168" s="12"/>
      <c r="L168" s="12"/>
      <c r="M168" s="12"/>
      <c r="N168" s="12"/>
    </row>
    <row r="169" customHeight="1" spans="1:14">
      <c r="A169" s="14"/>
      <c r="B169" s="7"/>
      <c r="C169" s="8"/>
      <c r="D169" s="9"/>
      <c r="E169" s="10"/>
      <c r="F169" s="11">
        <f t="shared" si="0"/>
        <v>1764.03</v>
      </c>
      <c r="G169" s="12"/>
      <c r="H169" s="12"/>
      <c r="I169" s="12"/>
      <c r="J169" s="12"/>
      <c r="K169" s="12"/>
      <c r="L169" s="12"/>
      <c r="M169" s="12"/>
      <c r="N169" s="12"/>
    </row>
    <row r="170" customHeight="1" spans="1:14">
      <c r="A170" s="14"/>
      <c r="B170" s="7"/>
      <c r="C170" s="8"/>
      <c r="D170" s="9"/>
      <c r="E170" s="10"/>
      <c r="F170" s="11">
        <f t="shared" si="0"/>
        <v>1764.03</v>
      </c>
      <c r="G170" s="12"/>
      <c r="H170" s="12"/>
      <c r="I170" s="12"/>
      <c r="J170" s="12"/>
      <c r="K170" s="12"/>
      <c r="L170" s="12"/>
      <c r="M170" s="12"/>
      <c r="N170" s="12"/>
    </row>
    <row r="171" customHeight="1" spans="1:14">
      <c r="A171" s="14"/>
      <c r="B171" s="7"/>
      <c r="C171" s="8"/>
      <c r="D171" s="9"/>
      <c r="E171" s="10"/>
      <c r="F171" s="11">
        <f t="shared" si="0"/>
        <v>1764.03</v>
      </c>
      <c r="G171" s="12"/>
      <c r="H171" s="12"/>
      <c r="I171" s="12"/>
      <c r="J171" s="12"/>
      <c r="K171" s="12"/>
      <c r="L171" s="12"/>
      <c r="M171" s="12"/>
      <c r="N171" s="12"/>
    </row>
    <row r="172" customHeight="1" spans="1:14">
      <c r="A172" s="14"/>
      <c r="B172" s="7"/>
      <c r="C172" s="8"/>
      <c r="D172" s="9"/>
      <c r="E172" s="10"/>
      <c r="F172" s="11">
        <f t="shared" si="0"/>
        <v>1764.03</v>
      </c>
      <c r="G172" s="12"/>
      <c r="H172" s="12"/>
      <c r="I172" s="12"/>
      <c r="J172" s="12"/>
      <c r="K172" s="12"/>
      <c r="L172" s="12"/>
      <c r="M172" s="12"/>
      <c r="N172" s="12"/>
    </row>
    <row r="173" customHeight="1" spans="1:14">
      <c r="A173" s="14"/>
      <c r="B173" s="7"/>
      <c r="C173" s="8"/>
      <c r="D173" s="9"/>
      <c r="E173" s="10"/>
      <c r="F173" s="11">
        <f t="shared" si="0"/>
        <v>1764.03</v>
      </c>
      <c r="G173" s="12"/>
      <c r="H173" s="12"/>
      <c r="I173" s="12"/>
      <c r="J173" s="12"/>
      <c r="K173" s="12"/>
      <c r="L173" s="12"/>
      <c r="M173" s="12"/>
      <c r="N173" s="12"/>
    </row>
    <row r="174" customHeight="1" spans="1:14">
      <c r="A174" s="14"/>
      <c r="B174" s="7"/>
      <c r="C174" s="8"/>
      <c r="D174" s="9"/>
      <c r="E174" s="10"/>
      <c r="F174" s="11">
        <f t="shared" si="0"/>
        <v>1764.03</v>
      </c>
      <c r="G174" s="12"/>
      <c r="H174" s="12"/>
      <c r="I174" s="12"/>
      <c r="J174" s="12"/>
      <c r="K174" s="12"/>
      <c r="L174" s="12"/>
      <c r="M174" s="12"/>
      <c r="N174" s="12"/>
    </row>
    <row r="175" customHeight="1" spans="1:14">
      <c r="A175" s="14"/>
      <c r="B175" s="7"/>
      <c r="C175" s="8"/>
      <c r="D175" s="9"/>
      <c r="E175" s="10"/>
      <c r="F175" s="11">
        <f t="shared" si="0"/>
        <v>1764.03</v>
      </c>
      <c r="G175" s="20"/>
      <c r="H175" s="20"/>
      <c r="I175" s="20"/>
      <c r="J175" s="20"/>
      <c r="K175" s="20"/>
      <c r="L175" s="12"/>
      <c r="M175" s="20"/>
      <c r="N175" s="20"/>
    </row>
    <row r="176" customHeight="1" spans="1:14">
      <c r="A176" s="14"/>
      <c r="B176" s="7"/>
      <c r="C176" s="8"/>
      <c r="D176" s="9"/>
      <c r="E176" s="10"/>
      <c r="F176" s="11">
        <f t="shared" si="0"/>
        <v>1764.03</v>
      </c>
      <c r="G176" s="20"/>
      <c r="H176" s="20"/>
      <c r="I176" s="20"/>
      <c r="J176" s="20"/>
      <c r="K176" s="20"/>
      <c r="L176" s="12"/>
      <c r="M176" s="20"/>
      <c r="N176" s="20"/>
    </row>
    <row r="177" customHeight="1" spans="1:14">
      <c r="A177" s="14"/>
      <c r="B177" s="7"/>
      <c r="C177" s="8"/>
      <c r="D177" s="9"/>
      <c r="E177" s="10"/>
      <c r="F177" s="11">
        <f t="shared" si="0"/>
        <v>1764.03</v>
      </c>
      <c r="G177" s="15"/>
      <c r="H177" s="15"/>
      <c r="I177" s="15"/>
      <c r="J177" s="15"/>
      <c r="K177" s="15"/>
      <c r="L177" s="15"/>
      <c r="M177" s="15"/>
      <c r="N177" s="15"/>
    </row>
    <row r="178" customHeight="1" spans="1:14">
      <c r="A178" s="14"/>
      <c r="B178" s="7"/>
      <c r="C178" s="8"/>
      <c r="D178" s="9"/>
      <c r="E178" s="10"/>
      <c r="F178" s="11">
        <f t="shared" si="0"/>
        <v>1764.03</v>
      </c>
      <c r="G178" s="15"/>
      <c r="H178" s="15"/>
      <c r="I178" s="15"/>
      <c r="J178" s="15"/>
      <c r="K178" s="15"/>
      <c r="L178" s="15"/>
      <c r="M178" s="15"/>
      <c r="N178" s="15"/>
    </row>
    <row r="179" customHeight="1" spans="1:14">
      <c r="A179" s="14"/>
      <c r="B179" s="7"/>
      <c r="C179" s="8"/>
      <c r="D179" s="9"/>
      <c r="E179" s="10"/>
      <c r="F179" s="11">
        <f t="shared" si="0"/>
        <v>1764.03</v>
      </c>
      <c r="G179" s="15"/>
      <c r="H179" s="15"/>
      <c r="I179" s="15"/>
      <c r="J179" s="15"/>
      <c r="K179" s="15"/>
      <c r="L179" s="15"/>
      <c r="M179" s="15"/>
      <c r="N179" s="15"/>
    </row>
    <row r="180" customHeight="1" spans="1:14">
      <c r="A180" s="14"/>
      <c r="B180" s="7"/>
      <c r="C180" s="8"/>
      <c r="D180" s="9"/>
      <c r="E180" s="10"/>
      <c r="F180" s="11">
        <f t="shared" si="0"/>
        <v>1764.03</v>
      </c>
      <c r="G180" s="12"/>
      <c r="H180" s="12"/>
      <c r="I180" s="12"/>
      <c r="J180" s="12"/>
      <c r="K180" s="12"/>
      <c r="L180" s="12"/>
      <c r="M180" s="12"/>
      <c r="N180" s="12"/>
    </row>
    <row r="181" customHeight="1" spans="1:14">
      <c r="A181" s="14"/>
      <c r="B181" s="7"/>
      <c r="C181" s="8"/>
      <c r="D181" s="9"/>
      <c r="E181" s="10"/>
      <c r="F181" s="11">
        <f t="shared" si="0"/>
        <v>1764.03</v>
      </c>
      <c r="G181" s="12"/>
      <c r="H181" s="12"/>
      <c r="I181" s="12"/>
      <c r="J181" s="12"/>
      <c r="K181" s="12"/>
      <c r="L181" s="12"/>
      <c r="M181" s="12"/>
      <c r="N181" s="12"/>
    </row>
    <row r="182" customHeight="1" spans="1:14">
      <c r="A182" s="14"/>
      <c r="B182" s="7"/>
      <c r="C182" s="8"/>
      <c r="D182" s="9"/>
      <c r="E182" s="10"/>
      <c r="F182" s="11">
        <f t="shared" si="0"/>
        <v>1764.03</v>
      </c>
      <c r="G182" s="12"/>
      <c r="H182" s="12"/>
      <c r="I182" s="12"/>
      <c r="J182" s="12"/>
      <c r="K182" s="12"/>
      <c r="L182" s="12"/>
      <c r="M182" s="12"/>
      <c r="N182" s="12"/>
    </row>
    <row r="183" customHeight="1" spans="1:14">
      <c r="A183" s="14"/>
      <c r="B183" s="7"/>
      <c r="C183" s="8"/>
      <c r="D183" s="9"/>
      <c r="E183" s="10"/>
      <c r="F183" s="11">
        <f t="shared" si="0"/>
        <v>1764.03</v>
      </c>
      <c r="G183" s="12"/>
      <c r="H183" s="12"/>
      <c r="I183" s="12"/>
      <c r="J183" s="12"/>
      <c r="K183" s="12"/>
      <c r="L183" s="12"/>
      <c r="M183" s="12"/>
      <c r="N183" s="12"/>
    </row>
    <row r="184" customHeight="1" spans="1:14">
      <c r="A184" s="14"/>
      <c r="B184" s="7"/>
      <c r="C184" s="8"/>
      <c r="D184" s="9"/>
      <c r="E184" s="10"/>
      <c r="F184" s="11">
        <f t="shared" si="0"/>
        <v>1764.03</v>
      </c>
      <c r="G184" s="12"/>
      <c r="H184" s="12"/>
      <c r="I184" s="12"/>
      <c r="J184" s="12"/>
      <c r="K184" s="12"/>
      <c r="L184" s="12"/>
      <c r="M184" s="12"/>
      <c r="N184" s="12"/>
    </row>
    <row r="185" customHeight="1" spans="1:14">
      <c r="A185" s="14"/>
      <c r="B185" s="7"/>
      <c r="C185" s="8"/>
      <c r="D185" s="9"/>
      <c r="E185" s="10"/>
      <c r="F185" s="11">
        <f t="shared" si="0"/>
        <v>1764.03</v>
      </c>
      <c r="G185" s="20"/>
      <c r="H185" s="20"/>
      <c r="I185" s="20"/>
      <c r="J185" s="20"/>
      <c r="K185" s="20"/>
      <c r="L185" s="12"/>
      <c r="M185" s="20"/>
      <c r="N185" s="20"/>
    </row>
    <row r="186" customHeight="1" spans="1:14">
      <c r="A186" s="14"/>
      <c r="B186" s="7"/>
      <c r="C186" s="8"/>
      <c r="D186" s="9"/>
      <c r="E186" s="10"/>
      <c r="F186" s="11">
        <f t="shared" si="0"/>
        <v>1764.03</v>
      </c>
      <c r="G186" s="12"/>
      <c r="H186" s="12"/>
      <c r="I186" s="12"/>
      <c r="J186" s="12"/>
      <c r="K186" s="12"/>
      <c r="L186" s="12"/>
      <c r="M186" s="12"/>
      <c r="N186" s="12"/>
    </row>
    <row r="187" customHeight="1" spans="1:14">
      <c r="A187" s="14"/>
      <c r="B187" s="7"/>
      <c r="C187" s="8"/>
      <c r="D187" s="9"/>
      <c r="E187" s="10"/>
      <c r="F187" s="11">
        <f t="shared" si="0"/>
        <v>1764.03</v>
      </c>
      <c r="G187" s="12"/>
      <c r="H187" s="12"/>
      <c r="I187" s="12"/>
      <c r="J187" s="12"/>
      <c r="K187" s="12"/>
      <c r="L187" s="12"/>
      <c r="M187" s="12"/>
      <c r="N187" s="12"/>
    </row>
    <row r="188" customHeight="1" spans="1:14">
      <c r="A188" s="14"/>
      <c r="B188" s="7"/>
      <c r="C188" s="8"/>
      <c r="D188" s="9"/>
      <c r="E188" s="10"/>
      <c r="F188" s="11">
        <f t="shared" si="0"/>
        <v>1764.03</v>
      </c>
      <c r="G188" s="12"/>
      <c r="H188" s="12"/>
      <c r="I188" s="12"/>
      <c r="J188" s="12"/>
      <c r="K188" s="12"/>
      <c r="L188" s="12"/>
      <c r="M188" s="12"/>
      <c r="N188" s="12"/>
    </row>
    <row r="189" customHeight="1" spans="1:14">
      <c r="A189" s="14"/>
      <c r="B189" s="7"/>
      <c r="C189" s="8"/>
      <c r="D189" s="9"/>
      <c r="E189" s="10"/>
      <c r="F189" s="11">
        <f t="shared" si="0"/>
        <v>1764.03</v>
      </c>
      <c r="G189" s="12"/>
      <c r="H189" s="12"/>
      <c r="I189" s="12"/>
      <c r="J189" s="12"/>
      <c r="K189" s="12"/>
      <c r="L189" s="12"/>
      <c r="M189" s="12"/>
      <c r="N189" s="12"/>
    </row>
    <row r="190" customHeight="1" spans="1:14">
      <c r="A190" s="14"/>
      <c r="B190" s="7"/>
      <c r="C190" s="8"/>
      <c r="D190" s="9"/>
      <c r="E190" s="10"/>
      <c r="F190" s="11">
        <f t="shared" si="0"/>
        <v>1764.03</v>
      </c>
      <c r="G190" s="12"/>
      <c r="H190" s="12"/>
      <c r="I190" s="12"/>
      <c r="J190" s="12"/>
      <c r="K190" s="12"/>
      <c r="L190" s="12"/>
      <c r="M190" s="12"/>
      <c r="N190" s="12"/>
    </row>
    <row r="191" customHeight="1" spans="1:14">
      <c r="A191" s="14"/>
      <c r="B191" s="7"/>
      <c r="C191" s="8"/>
      <c r="D191" s="9"/>
      <c r="E191" s="10"/>
      <c r="F191" s="11">
        <f t="shared" si="0"/>
        <v>1764.03</v>
      </c>
      <c r="G191" s="12"/>
      <c r="H191" s="12"/>
      <c r="I191" s="12"/>
      <c r="J191" s="12"/>
      <c r="K191" s="12"/>
      <c r="L191" s="12"/>
      <c r="M191" s="12"/>
      <c r="N191" s="12"/>
    </row>
    <row r="192" customHeight="1" spans="1:14">
      <c r="A192" s="14"/>
      <c r="B192" s="7"/>
      <c r="C192" s="8"/>
      <c r="D192" s="9"/>
      <c r="E192" s="10"/>
      <c r="F192" s="11">
        <f t="shared" si="0"/>
        <v>1764.03</v>
      </c>
      <c r="G192" s="12"/>
      <c r="H192" s="12"/>
      <c r="I192" s="12"/>
      <c r="J192" s="12"/>
      <c r="K192" s="12"/>
      <c r="L192" s="12"/>
      <c r="M192" s="12"/>
      <c r="N192" s="12"/>
    </row>
    <row r="193" customHeight="1" spans="1:14">
      <c r="A193" s="14"/>
      <c r="B193" s="7"/>
      <c r="C193" s="8"/>
      <c r="D193" s="9"/>
      <c r="E193" s="10"/>
      <c r="F193" s="11">
        <f t="shared" si="0"/>
        <v>1764.03</v>
      </c>
      <c r="G193" s="12"/>
      <c r="H193" s="12"/>
      <c r="I193" s="12"/>
      <c r="J193" s="12"/>
      <c r="K193" s="12"/>
      <c r="L193" s="12"/>
      <c r="M193" s="12"/>
      <c r="N193" s="12"/>
    </row>
    <row r="194" customHeight="1" spans="1:14">
      <c r="A194" s="14"/>
      <c r="B194" s="7"/>
      <c r="C194" s="8"/>
      <c r="D194" s="9"/>
      <c r="E194" s="10"/>
      <c r="F194" s="11">
        <f t="shared" si="0"/>
        <v>1764.03</v>
      </c>
      <c r="G194" s="12"/>
      <c r="H194" s="12"/>
      <c r="I194" s="12"/>
      <c r="J194" s="12"/>
      <c r="K194" s="12"/>
      <c r="L194" s="12"/>
      <c r="M194" s="12"/>
      <c r="N194" s="12"/>
    </row>
    <row r="195" customHeight="1" spans="1:14">
      <c r="A195" s="117"/>
      <c r="B195" s="74"/>
      <c r="C195" s="75"/>
      <c r="D195" s="76"/>
      <c r="E195" s="78"/>
      <c r="F195" s="11">
        <f t="shared" si="0"/>
        <v>1764.03</v>
      </c>
      <c r="G195" s="110"/>
      <c r="H195" s="110"/>
      <c r="I195" s="110"/>
      <c r="J195" s="110"/>
      <c r="K195" s="110"/>
      <c r="L195" s="110"/>
      <c r="M195" s="110"/>
      <c r="N195" s="110"/>
    </row>
    <row r="196" customHeight="1" spans="1:14">
      <c r="A196" s="117"/>
      <c r="B196" s="74"/>
      <c r="C196" s="75"/>
      <c r="D196" s="76"/>
      <c r="E196" s="78"/>
      <c r="F196" s="11">
        <f t="shared" si="0"/>
        <v>1764.03</v>
      </c>
      <c r="G196" s="110"/>
      <c r="H196" s="110"/>
      <c r="I196" s="110"/>
      <c r="J196" s="110"/>
      <c r="K196" s="110"/>
      <c r="L196" s="110"/>
      <c r="M196" s="110"/>
      <c r="N196" s="110"/>
    </row>
    <row r="197" customHeight="1" spans="1:14">
      <c r="A197" s="117"/>
      <c r="B197" s="74"/>
      <c r="C197" s="75"/>
      <c r="D197" s="76"/>
      <c r="E197" s="78"/>
      <c r="F197" s="11">
        <f t="shared" si="0"/>
        <v>1764.03</v>
      </c>
      <c r="G197" s="110"/>
      <c r="H197" s="110"/>
      <c r="I197" s="110"/>
      <c r="J197" s="110"/>
      <c r="K197" s="110"/>
      <c r="L197" s="110"/>
      <c r="M197" s="110"/>
      <c r="N197" s="110"/>
    </row>
    <row r="198" customHeight="1" spans="1:14">
      <c r="A198" s="117"/>
      <c r="B198" s="74"/>
      <c r="C198" s="75"/>
      <c r="D198" s="76"/>
      <c r="E198" s="78"/>
      <c r="F198" s="11">
        <f t="shared" si="0"/>
        <v>1764.03</v>
      </c>
      <c r="G198" s="110"/>
      <c r="H198" s="110"/>
      <c r="I198" s="110"/>
      <c r="J198" s="110"/>
      <c r="K198" s="110"/>
      <c r="L198" s="110"/>
      <c r="M198" s="110"/>
      <c r="N198" s="110"/>
    </row>
    <row r="199" customHeight="1" spans="1:14">
      <c r="A199" s="117"/>
      <c r="B199" s="74"/>
      <c r="C199" s="75"/>
      <c r="D199" s="76"/>
      <c r="E199" s="78"/>
      <c r="F199" s="11">
        <f t="shared" si="0"/>
        <v>1764.03</v>
      </c>
      <c r="G199" s="110"/>
      <c r="H199" s="110"/>
      <c r="I199" s="110"/>
      <c r="J199" s="110"/>
      <c r="K199" s="110"/>
      <c r="L199" s="110"/>
      <c r="M199" s="110"/>
      <c r="N199" s="110"/>
    </row>
    <row r="200" customHeight="1" spans="1:14">
      <c r="A200" s="117"/>
      <c r="B200" s="74"/>
      <c r="C200" s="75"/>
      <c r="D200" s="76"/>
      <c r="E200" s="78"/>
      <c r="F200" s="11">
        <f t="shared" si="0"/>
        <v>1764.03</v>
      </c>
      <c r="G200" s="110"/>
      <c r="H200" s="110"/>
      <c r="I200" s="110"/>
      <c r="J200" s="110"/>
      <c r="K200" s="110"/>
      <c r="L200" s="110"/>
      <c r="M200" s="110"/>
      <c r="N200" s="110"/>
    </row>
    <row r="201" customHeight="1" spans="1:14">
      <c r="A201" s="117"/>
      <c r="B201" s="74"/>
      <c r="C201" s="75"/>
      <c r="D201" s="76"/>
      <c r="E201" s="78"/>
      <c r="F201" s="11">
        <f t="shared" si="0"/>
        <v>1764.03</v>
      </c>
      <c r="G201" s="110"/>
      <c r="H201" s="110"/>
      <c r="I201" s="110"/>
      <c r="J201" s="110"/>
      <c r="K201" s="110"/>
      <c r="L201" s="110"/>
      <c r="M201" s="110"/>
      <c r="N201" s="110"/>
    </row>
    <row r="202" customHeight="1" spans="1:14">
      <c r="A202" s="117"/>
      <c r="B202" s="74"/>
      <c r="C202" s="75"/>
      <c r="D202" s="76"/>
      <c r="E202" s="78"/>
      <c r="F202" s="11">
        <f t="shared" si="0"/>
        <v>1764.03</v>
      </c>
      <c r="G202" s="110"/>
      <c r="H202" s="110"/>
      <c r="I202" s="110"/>
      <c r="J202" s="110"/>
      <c r="K202" s="110"/>
      <c r="L202" s="110"/>
      <c r="M202" s="110"/>
      <c r="N202" s="110"/>
    </row>
    <row r="203" customHeight="1" spans="1:14">
      <c r="A203" s="117"/>
      <c r="B203" s="74"/>
      <c r="C203" s="75"/>
      <c r="D203" s="76"/>
      <c r="E203" s="78"/>
      <c r="F203" s="11">
        <f t="shared" si="0"/>
        <v>1764.03</v>
      </c>
      <c r="G203" s="110"/>
      <c r="H203" s="110"/>
      <c r="I203" s="110"/>
      <c r="J203" s="110"/>
      <c r="K203" s="110"/>
      <c r="L203" s="110"/>
      <c r="M203" s="110"/>
      <c r="N203" s="110"/>
    </row>
    <row r="204" customHeight="1" spans="1:14">
      <c r="A204" s="117"/>
      <c r="B204" s="74"/>
      <c r="C204" s="75"/>
      <c r="D204" s="76"/>
      <c r="E204" s="78"/>
      <c r="F204" s="11">
        <f t="shared" si="0"/>
        <v>1764.03</v>
      </c>
      <c r="G204" s="110"/>
      <c r="H204" s="110"/>
      <c r="I204" s="110"/>
      <c r="J204" s="110"/>
      <c r="K204" s="110"/>
      <c r="L204" s="110"/>
      <c r="M204" s="110"/>
      <c r="N204" s="110"/>
    </row>
    <row r="205" customHeight="1" spans="1:14">
      <c r="A205" s="117"/>
      <c r="B205" s="74"/>
      <c r="C205" s="75"/>
      <c r="D205" s="76"/>
      <c r="E205" s="78"/>
      <c r="F205" s="11">
        <f t="shared" si="0"/>
        <v>1764.03</v>
      </c>
      <c r="G205" s="110"/>
      <c r="H205" s="110"/>
      <c r="I205" s="110"/>
      <c r="J205" s="110"/>
      <c r="K205" s="110"/>
      <c r="L205" s="110"/>
      <c r="M205" s="110"/>
      <c r="N205" s="110"/>
    </row>
    <row r="206" customHeight="1" spans="1:14">
      <c r="A206" s="117"/>
      <c r="B206" s="74"/>
      <c r="C206" s="75"/>
      <c r="D206" s="76"/>
      <c r="E206" s="78"/>
      <c r="F206" s="11">
        <f t="shared" si="0"/>
        <v>1764.03</v>
      </c>
      <c r="G206" s="110"/>
      <c r="H206" s="110"/>
      <c r="I206" s="110"/>
      <c r="J206" s="110"/>
      <c r="K206" s="110"/>
      <c r="L206" s="110"/>
      <c r="M206" s="110"/>
      <c r="N206" s="110"/>
    </row>
    <row r="207" customHeight="1" spans="1:14">
      <c r="A207" s="117"/>
      <c r="B207" s="74"/>
      <c r="C207" s="75"/>
      <c r="D207" s="76"/>
      <c r="E207" s="78"/>
      <c r="F207" s="11">
        <f t="shared" si="0"/>
        <v>1764.03</v>
      </c>
      <c r="G207" s="110"/>
      <c r="H207" s="110"/>
      <c r="I207" s="110"/>
      <c r="J207" s="110"/>
      <c r="K207" s="110"/>
      <c r="L207" s="110"/>
      <c r="M207" s="110"/>
      <c r="N207" s="110"/>
    </row>
    <row r="208" customHeight="1" spans="1:14">
      <c r="A208" s="117"/>
      <c r="B208" s="74"/>
      <c r="C208" s="75"/>
      <c r="D208" s="76"/>
      <c r="E208" s="78"/>
      <c r="F208" s="11">
        <f t="shared" si="0"/>
        <v>1764.03</v>
      </c>
      <c r="G208" s="110"/>
      <c r="H208" s="110"/>
      <c r="I208" s="110"/>
      <c r="J208" s="110"/>
      <c r="K208" s="110"/>
      <c r="L208" s="110"/>
      <c r="M208" s="110"/>
      <c r="N208" s="110"/>
    </row>
    <row r="209" customHeight="1" spans="1:14">
      <c r="A209" s="117"/>
      <c r="B209" s="74"/>
      <c r="C209" s="75"/>
      <c r="D209" s="76"/>
      <c r="E209" s="78"/>
      <c r="F209" s="11">
        <f t="shared" si="0"/>
        <v>1764.03</v>
      </c>
      <c r="G209" s="110"/>
      <c r="H209" s="110"/>
      <c r="I209" s="110"/>
      <c r="J209" s="110"/>
      <c r="K209" s="110"/>
      <c r="L209" s="110"/>
      <c r="M209" s="110"/>
      <c r="N209" s="110"/>
    </row>
    <row r="210" customHeight="1" spans="1:14">
      <c r="A210" s="117"/>
      <c r="B210" s="74"/>
      <c r="C210" s="75"/>
      <c r="D210" s="76"/>
      <c r="E210" s="78"/>
      <c r="F210" s="11">
        <f t="shared" si="0"/>
        <v>1764.03</v>
      </c>
      <c r="G210" s="110"/>
      <c r="H210" s="110"/>
      <c r="I210" s="110"/>
      <c r="J210" s="110"/>
      <c r="K210" s="110"/>
      <c r="L210" s="110"/>
      <c r="M210" s="110"/>
      <c r="N210" s="110"/>
    </row>
    <row r="211" customHeight="1" spans="1:14">
      <c r="A211" s="117"/>
      <c r="B211" s="74"/>
      <c r="C211" s="75"/>
      <c r="D211" s="76"/>
      <c r="E211" s="78"/>
      <c r="F211" s="11">
        <f t="shared" si="0"/>
        <v>1764.03</v>
      </c>
      <c r="G211" s="110"/>
      <c r="H211" s="110"/>
      <c r="I211" s="110"/>
      <c r="J211" s="110"/>
      <c r="K211" s="110"/>
      <c r="L211" s="110"/>
      <c r="M211" s="110"/>
      <c r="N211" s="110"/>
    </row>
    <row r="212" customHeight="1" spans="1:14">
      <c r="A212" s="117"/>
      <c r="B212" s="74"/>
      <c r="C212" s="75"/>
      <c r="D212" s="76"/>
      <c r="E212" s="78"/>
      <c r="F212" s="11">
        <f t="shared" si="0"/>
        <v>1764.03</v>
      </c>
      <c r="G212" s="110"/>
      <c r="H212" s="110"/>
      <c r="I212" s="110"/>
      <c r="J212" s="110"/>
      <c r="K212" s="110"/>
      <c r="L212" s="110"/>
      <c r="M212" s="110"/>
      <c r="N212" s="110"/>
    </row>
    <row r="213" customHeight="1" spans="1:14">
      <c r="A213" s="117"/>
      <c r="B213" s="74"/>
      <c r="C213" s="75"/>
      <c r="D213" s="76"/>
      <c r="E213" s="78"/>
      <c r="F213" s="11">
        <f t="shared" si="0"/>
        <v>1764.03</v>
      </c>
      <c r="G213" s="110"/>
      <c r="H213" s="110"/>
      <c r="I213" s="110"/>
      <c r="J213" s="110"/>
      <c r="K213" s="110"/>
      <c r="L213" s="110"/>
      <c r="M213" s="110"/>
      <c r="N213" s="110"/>
    </row>
    <row r="214" customHeight="1" spans="1:14">
      <c r="A214" s="117"/>
      <c r="B214" s="74"/>
      <c r="C214" s="75"/>
      <c r="D214" s="76"/>
      <c r="E214" s="78"/>
      <c r="F214" s="11">
        <f t="shared" si="0"/>
        <v>1764.03</v>
      </c>
      <c r="G214" s="110"/>
      <c r="H214" s="110"/>
      <c r="I214" s="110"/>
      <c r="J214" s="110"/>
      <c r="K214" s="110"/>
      <c r="L214" s="110"/>
      <c r="M214" s="110"/>
      <c r="N214" s="110"/>
    </row>
    <row r="215" customHeight="1" spans="1:14">
      <c r="A215" s="117"/>
      <c r="B215" s="74"/>
      <c r="C215" s="75"/>
      <c r="D215" s="76"/>
      <c r="E215" s="78"/>
      <c r="F215" s="11">
        <f t="shared" si="0"/>
        <v>1764.03</v>
      </c>
      <c r="G215" s="110"/>
      <c r="H215" s="110"/>
      <c r="I215" s="110"/>
      <c r="J215" s="110"/>
      <c r="K215" s="110"/>
      <c r="L215" s="110"/>
      <c r="M215" s="110"/>
      <c r="N215" s="110"/>
    </row>
    <row r="216" customHeight="1" spans="1:14">
      <c r="A216" s="117"/>
      <c r="B216" s="74"/>
      <c r="C216" s="75"/>
      <c r="D216" s="76"/>
      <c r="E216" s="78"/>
      <c r="F216" s="11">
        <f t="shared" si="0"/>
        <v>1764.03</v>
      </c>
      <c r="G216" s="110"/>
      <c r="H216" s="110"/>
      <c r="I216" s="110"/>
      <c r="J216" s="110"/>
      <c r="K216" s="110"/>
      <c r="L216" s="110"/>
      <c r="M216" s="110"/>
      <c r="N216" s="110"/>
    </row>
    <row r="217" customHeight="1" spans="1:14">
      <c r="A217" s="117"/>
      <c r="B217" s="74"/>
      <c r="C217" s="75"/>
      <c r="D217" s="76"/>
      <c r="E217" s="78"/>
      <c r="F217" s="11">
        <f t="shared" si="0"/>
        <v>1764.03</v>
      </c>
      <c r="G217" s="110"/>
      <c r="H217" s="110"/>
      <c r="I217" s="110"/>
      <c r="J217" s="110"/>
      <c r="K217" s="110"/>
      <c r="L217" s="110"/>
      <c r="M217" s="110"/>
      <c r="N217" s="110"/>
    </row>
    <row r="218" customHeight="1" spans="1:14">
      <c r="A218" s="117"/>
      <c r="B218" s="74"/>
      <c r="C218" s="75"/>
      <c r="D218" s="76"/>
      <c r="E218" s="78"/>
      <c r="F218" s="11">
        <f t="shared" si="0"/>
        <v>1764.03</v>
      </c>
      <c r="G218" s="110"/>
      <c r="H218" s="110"/>
      <c r="I218" s="110"/>
      <c r="J218" s="110"/>
      <c r="K218" s="110"/>
      <c r="L218" s="110"/>
      <c r="M218" s="110"/>
      <c r="N218" s="110"/>
    </row>
    <row r="219" customHeight="1" spans="1:2">
      <c r="A219" s="47"/>
      <c r="B219" s="48"/>
    </row>
    <row r="220" customHeight="1" spans="1:2">
      <c r="A220" s="47"/>
      <c r="B220" s="48"/>
    </row>
    <row r="221" customHeight="1" spans="1:2">
      <c r="A221" s="47"/>
      <c r="B221" s="48"/>
    </row>
    <row r="222" customHeight="1" spans="1:6">
      <c r="A222" s="67" t="s">
        <v>24</v>
      </c>
      <c r="B222" s="67">
        <v>15000</v>
      </c>
      <c r="D222" s="126" t="s">
        <v>294</v>
      </c>
      <c r="E222" s="126" t="s">
        <v>295</v>
      </c>
      <c r="F222" s="126" t="s">
        <v>15</v>
      </c>
    </row>
    <row r="223" customHeight="1" spans="1:6">
      <c r="A223" s="67" t="s">
        <v>230</v>
      </c>
      <c r="B223" s="67">
        <v>4000</v>
      </c>
      <c r="D223" s="70">
        <f t="shared" ref="D223:E223" si="1">SUM(D3:D218)</f>
        <v>70198.38</v>
      </c>
      <c r="E223" s="70">
        <f t="shared" si="1"/>
        <v>68434.35</v>
      </c>
      <c r="F223" s="70">
        <f>D223-E223</f>
        <v>1764.03000000001</v>
      </c>
    </row>
    <row r="224" customHeight="1" spans="1:6">
      <c r="A224" s="47"/>
      <c r="B224" s="48"/>
      <c r="D224" s="52" t="s">
        <v>417</v>
      </c>
      <c r="E224" s="53">
        <f t="shared" ref="E224:E225" si="2">E223-B222</f>
        <v>53434.35</v>
      </c>
      <c r="F224" s="54"/>
    </row>
    <row r="225" customHeight="1" spans="1:6">
      <c r="A225" s="47"/>
      <c r="B225" s="48"/>
      <c r="D225" s="52" t="s">
        <v>497</v>
      </c>
      <c r="E225" s="53">
        <f t="shared" si="2"/>
        <v>49434.35</v>
      </c>
      <c r="F225" s="54"/>
    </row>
    <row r="226" customHeight="1" spans="1:2">
      <c r="A226" s="47"/>
      <c r="B226" s="48"/>
    </row>
    <row r="227" customHeight="1" spans="1:2">
      <c r="A227" s="47"/>
      <c r="B227" s="48"/>
    </row>
    <row r="228" customHeight="1" spans="1:2">
      <c r="A228" s="47"/>
      <c r="B228" s="48"/>
    </row>
    <row r="229" customHeight="1" spans="1:13">
      <c r="A229" s="47"/>
      <c r="B229" s="48"/>
      <c r="D229" s="55" t="s">
        <v>27</v>
      </c>
      <c r="E229" s="53">
        <f ca="1">SUMIF(C$3:E$218,"Grocery",E$3:E$218)</f>
        <v>10607.6</v>
      </c>
      <c r="F229" s="56">
        <f ca="1">SUM(E229:E231)</f>
        <v>16258.05</v>
      </c>
      <c r="K229" s="65"/>
      <c r="L229" s="65"/>
      <c r="M229" s="65"/>
    </row>
    <row r="230" customHeight="1" spans="1:13">
      <c r="A230" s="47"/>
      <c r="B230" s="48"/>
      <c r="D230" s="55" t="s">
        <v>224</v>
      </c>
      <c r="E230" s="53">
        <f ca="1">SUMIF(C$3:E$218,"Snacks",E$3:E$218)</f>
        <v>1498</v>
      </c>
      <c r="F230" s="57"/>
      <c r="K230" s="62"/>
      <c r="L230" s="62"/>
      <c r="M230" s="62"/>
    </row>
    <row r="231" customHeight="1" spans="1:13">
      <c r="A231" s="47"/>
      <c r="B231" s="48"/>
      <c r="D231" s="55" t="s">
        <v>299</v>
      </c>
      <c r="E231" s="53">
        <f ca="1">SUMIF(C$3:E$218,"Food",E$3:E$218)</f>
        <v>4152.45</v>
      </c>
      <c r="F231" s="58"/>
      <c r="K231" s="62"/>
      <c r="L231" s="62"/>
      <c r="M231" s="62"/>
    </row>
    <row r="232" customHeight="1" spans="1:13">
      <c r="A232" s="47"/>
      <c r="B232" s="48"/>
      <c r="D232" s="55" t="s">
        <v>245</v>
      </c>
      <c r="E232" s="53">
        <f ca="1">SUMIF(C$3:E$218,"Health",E$3:E$218)</f>
        <v>7653.5</v>
      </c>
      <c r="K232" s="62"/>
      <c r="L232" s="62"/>
      <c r="M232" s="62"/>
    </row>
    <row r="233" customHeight="1" spans="1:13">
      <c r="A233" s="47"/>
      <c r="B233" s="48"/>
      <c r="D233" s="55" t="s">
        <v>54</v>
      </c>
      <c r="E233" s="53">
        <f ca="1">SUMIF(C$3:E$218,"Dress",E$3:E$218)</f>
        <v>750</v>
      </c>
      <c r="F233" s="59"/>
      <c r="G233" s="60"/>
      <c r="K233" s="62"/>
      <c r="L233" s="62"/>
      <c r="M233" s="62"/>
    </row>
    <row r="234" customHeight="1" spans="1:13">
      <c r="A234" s="47"/>
      <c r="B234" s="48"/>
      <c r="D234" s="55" t="s">
        <v>214</v>
      </c>
      <c r="E234" s="53">
        <f ca="1">SUMIF(C$3:E$218,"Home",E$3:E$218)</f>
        <v>32212.9</v>
      </c>
      <c r="K234" s="62"/>
      <c r="L234" s="62"/>
      <c r="M234" s="62"/>
    </row>
    <row r="235" customHeight="1" spans="1:13">
      <c r="A235" s="47"/>
      <c r="B235" s="48"/>
      <c r="D235" s="55" t="s">
        <v>281</v>
      </c>
      <c r="E235" s="53">
        <f ca="1">SUMIF(C$3:E$218,"Tickets",E$3:E$218)</f>
        <v>0</v>
      </c>
      <c r="F235" s="61">
        <f ca="1">SUM(E235:E237)</f>
        <v>3813</v>
      </c>
      <c r="G235" s="62"/>
      <c r="K235" s="62"/>
      <c r="L235" s="62"/>
      <c r="M235" s="62"/>
    </row>
    <row r="236" customHeight="1" spans="1:13">
      <c r="A236" s="47"/>
      <c r="B236" s="48"/>
      <c r="D236" s="55" t="s">
        <v>210</v>
      </c>
      <c r="E236" s="53">
        <f ca="1">SUMIF(C$3:E$218,"Transport",E$3:E$218)</f>
        <v>2790</v>
      </c>
      <c r="F236" s="66"/>
      <c r="H236" s="67" t="s">
        <v>300</v>
      </c>
      <c r="K236" s="62"/>
      <c r="L236" s="62"/>
      <c r="M236" s="62"/>
    </row>
    <row r="237" customHeight="1" spans="1:8">
      <c r="A237" s="47"/>
      <c r="B237" s="48"/>
      <c r="D237" s="55" t="s">
        <v>201</v>
      </c>
      <c r="E237" s="53">
        <f ca="1">SUMIF(C$3:E$218,"Fuel",E$3:E$218)</f>
        <v>1023</v>
      </c>
      <c r="F237" s="68"/>
      <c r="H237" s="53">
        <f ca="1">E223-E239</f>
        <v>4469.89999999999</v>
      </c>
    </row>
    <row r="238" customHeight="1" spans="1:5">
      <c r="A238" s="47"/>
      <c r="B238" s="48"/>
      <c r="D238" s="55" t="s">
        <v>219</v>
      </c>
      <c r="E238" s="53">
        <f ca="1">SUMIF(C$3:E$218,"Others",E$3:E$218)</f>
        <v>3277</v>
      </c>
    </row>
    <row r="239" customHeight="1" spans="1:13">
      <c r="A239" s="47"/>
      <c r="B239" s="48"/>
      <c r="D239" s="69" t="s">
        <v>7</v>
      </c>
      <c r="E239" s="70">
        <f ca="1">SUM(E229:E238)</f>
        <v>63964.45</v>
      </c>
      <c r="K239" s="71"/>
      <c r="L239" s="72"/>
      <c r="M239" s="72"/>
    </row>
    <row r="240" customHeight="1" spans="1:13">
      <c r="A240" s="47"/>
      <c r="B240" s="48"/>
      <c r="K240" s="71"/>
      <c r="L240" s="72"/>
      <c r="M240" s="72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2">
      <c r="A971" s="47"/>
      <c r="B971" s="48"/>
    </row>
    <row r="972" customHeight="1" spans="1:2">
      <c r="A972" s="47"/>
      <c r="B972" s="48"/>
    </row>
    <row r="973" customHeight="1" spans="1:2">
      <c r="A973" s="47"/>
      <c r="B973" s="48"/>
    </row>
    <row r="974" customHeight="1" spans="1:2">
      <c r="A974" s="47"/>
      <c r="B974" s="48"/>
    </row>
    <row r="975" customHeight="1" spans="1:2">
      <c r="A975" s="47"/>
      <c r="B975" s="48"/>
    </row>
    <row r="976" customHeight="1" spans="1:2">
      <c r="A976" s="47"/>
      <c r="B976" s="48"/>
    </row>
    <row r="977" customHeight="1" spans="1:2">
      <c r="A977" s="47"/>
      <c r="B977" s="48"/>
    </row>
    <row r="978" customHeight="1" spans="1:2">
      <c r="A978" s="47"/>
      <c r="B978" s="48"/>
    </row>
    <row r="979" customHeight="1" spans="1:2">
      <c r="A979" s="47"/>
      <c r="B979" s="48"/>
    </row>
    <row r="980" customHeight="1" spans="1:2">
      <c r="A980" s="47"/>
      <c r="B980" s="48"/>
    </row>
    <row r="981" customHeight="1" spans="1:2">
      <c r="A981" s="47"/>
      <c r="B981" s="48"/>
    </row>
    <row r="982" customHeight="1" spans="1:2">
      <c r="A982" s="47"/>
      <c r="B982" s="48"/>
    </row>
    <row r="983" customHeight="1" spans="1:2">
      <c r="A983" s="47"/>
      <c r="B983" s="48"/>
    </row>
    <row r="984" customHeight="1" spans="1:2">
      <c r="A984" s="47"/>
      <c r="B984" s="48"/>
    </row>
    <row r="985" customHeight="1" spans="1:2">
      <c r="A985" s="47"/>
      <c r="B985" s="48"/>
    </row>
    <row r="986" customHeight="1" spans="1:2">
      <c r="A986" s="47"/>
      <c r="B986" s="48"/>
    </row>
    <row r="987" customHeight="1" spans="1:2">
      <c r="A987" s="47"/>
      <c r="B987" s="48"/>
    </row>
    <row r="988" customHeight="1" spans="1:2">
      <c r="A988" s="47"/>
      <c r="B988" s="48"/>
    </row>
    <row r="989" customHeight="1" spans="1:2">
      <c r="A989" s="47"/>
      <c r="B989" s="48"/>
    </row>
    <row r="990" customHeight="1" spans="1:2">
      <c r="A990" s="47"/>
      <c r="B990" s="48"/>
    </row>
    <row r="991" customHeight="1" spans="1:2">
      <c r="A991" s="47"/>
      <c r="B991" s="48"/>
    </row>
    <row r="992" customHeight="1" spans="1:2">
      <c r="A992" s="47"/>
      <c r="B992" s="48"/>
    </row>
    <row r="993" customHeight="1" spans="1:2">
      <c r="A993" s="47"/>
      <c r="B993" s="48"/>
    </row>
    <row r="994" customHeight="1" spans="1:2">
      <c r="A994" s="47"/>
      <c r="B994" s="48"/>
    </row>
    <row r="995" customHeight="1" spans="1:2">
      <c r="A995" s="47"/>
      <c r="B995" s="48"/>
    </row>
    <row r="996" customHeight="1" spans="1:2">
      <c r="A996" s="47"/>
      <c r="B996" s="48"/>
    </row>
    <row r="997" customHeight="1" spans="1:2">
      <c r="A997" s="47"/>
      <c r="B997" s="48"/>
    </row>
    <row r="998" customHeight="1" spans="1:2">
      <c r="A998" s="47"/>
      <c r="B998" s="48"/>
    </row>
    <row r="999" customHeight="1" spans="1:2">
      <c r="A999" s="47"/>
      <c r="B999" s="48"/>
    </row>
    <row r="1000" customHeight="1" spans="1:2">
      <c r="A1000" s="47"/>
      <c r="B1000" s="48"/>
    </row>
    <row r="1001" customHeight="1" spans="1:2">
      <c r="A1001" s="47"/>
      <c r="B1001" s="48"/>
    </row>
    <row r="1002" customHeight="1" spans="1:2">
      <c r="A1002" s="47"/>
      <c r="B1002" s="48"/>
    </row>
    <row r="1003" customHeight="1" spans="1:2">
      <c r="A1003" s="47"/>
      <c r="B1003" s="48"/>
    </row>
    <row r="1004" customHeight="1" spans="1:2">
      <c r="A1004" s="47"/>
      <c r="B1004" s="48"/>
    </row>
    <row r="1005" customHeight="1" spans="1:2">
      <c r="A1005" s="47"/>
      <c r="B1005" s="48"/>
    </row>
    <row r="1006" customHeight="1" spans="1:2">
      <c r="A1006" s="47"/>
      <c r="B1006" s="48"/>
    </row>
    <row r="1007" customHeight="1" spans="1:2">
      <c r="A1007" s="47"/>
      <c r="B1007" s="48"/>
    </row>
    <row r="1008" customHeight="1" spans="1:2">
      <c r="A1008" s="47"/>
      <c r="B1008" s="48"/>
    </row>
    <row r="1009" customHeight="1" spans="1:2">
      <c r="A1009" s="47"/>
      <c r="B1009" s="48"/>
    </row>
    <row r="1010" customHeight="1" spans="1:2">
      <c r="A1010" s="47"/>
      <c r="B1010" s="48"/>
    </row>
    <row r="1011" customHeight="1" spans="1:2">
      <c r="A1011" s="47"/>
      <c r="B1011" s="48"/>
    </row>
    <row r="1012" customHeight="1" spans="1:2">
      <c r="A1012" s="47"/>
      <c r="B1012" s="48"/>
    </row>
    <row r="1013" customHeight="1" spans="1:2">
      <c r="A1013" s="47"/>
      <c r="B1013" s="48"/>
    </row>
    <row r="1014" customHeight="1" spans="1:2">
      <c r="A1014" s="47"/>
      <c r="B1014" s="48"/>
    </row>
    <row r="1015" customHeight="1" spans="1:2">
      <c r="A1015" s="47"/>
      <c r="B1015" s="48"/>
    </row>
    <row r="1016" customHeight="1" spans="1:2">
      <c r="A1016" s="47"/>
      <c r="B1016" s="48"/>
    </row>
    <row r="1017" customHeight="1" spans="1:2">
      <c r="A1017" s="47"/>
      <c r="B1017" s="48"/>
    </row>
    <row r="1018" customHeight="1" spans="1:2">
      <c r="A1018" s="47"/>
      <c r="B1018" s="48"/>
    </row>
    <row r="1019" customHeight="1" spans="1:1">
      <c r="A1019" s="47"/>
    </row>
    <row r="1020" customHeight="1" spans="1:1">
      <c r="A1020" s="47"/>
    </row>
    <row r="1021" customHeight="1" spans="1:1">
      <c r="A1021" s="47"/>
    </row>
    <row r="1022" customHeight="1" spans="1:1">
      <c r="A1022" s="47"/>
    </row>
    <row r="1023" customHeight="1" spans="1:1">
      <c r="A1023" s="47"/>
    </row>
    <row r="1024" customHeight="1" spans="1:1">
      <c r="A1024" s="47"/>
    </row>
    <row r="1025" customHeight="1" spans="1:1">
      <c r="A1025" s="47"/>
    </row>
    <row r="1026" customHeight="1" spans="1:1">
      <c r="A1026" s="47"/>
    </row>
    <row r="1027" customHeight="1" spans="1:1">
      <c r="A1027" s="47"/>
    </row>
    <row r="1028" customHeight="1" spans="1:1">
      <c r="A1028" s="47"/>
    </row>
    <row r="1029" customHeight="1" spans="1:1">
      <c r="A1029" s="47"/>
    </row>
    <row r="1030" customHeight="1" spans="1:1">
      <c r="A1030" s="47"/>
    </row>
    <row r="1031" customHeight="1" spans="1:1">
      <c r="A1031" s="47"/>
    </row>
    <row r="1032" customHeight="1" spans="1:1">
      <c r="A1032" s="47"/>
    </row>
    <row r="1033" customHeight="1" spans="1:1">
      <c r="A1033" s="47"/>
    </row>
    <row r="1034" customHeight="1" spans="1:1">
      <c r="A1034" s="47"/>
    </row>
    <row r="1035" customHeight="1" spans="1:1">
      <c r="A1035" s="47"/>
    </row>
    <row r="1036" customHeight="1" spans="1:1">
      <c r="A1036" s="47"/>
    </row>
    <row r="1037" customHeight="1" spans="1:1">
      <c r="A1037" s="47"/>
    </row>
    <row r="1038" customHeight="1" spans="1:1">
      <c r="A1038" s="47"/>
    </row>
    <row r="1039" customHeight="1" spans="1:1">
      <c r="A1039" s="47"/>
    </row>
    <row r="1040" customHeight="1" spans="1:1">
      <c r="A1040" s="47"/>
    </row>
    <row r="1041" customHeight="1" spans="1:1">
      <c r="A1041" s="47"/>
    </row>
    <row r="1042" customHeight="1" spans="1:1">
      <c r="A1042" s="47"/>
    </row>
    <row r="1043" customHeight="1" spans="1:1">
      <c r="A1043" s="47"/>
    </row>
    <row r="1044" customHeight="1" spans="1:1">
      <c r="A1044" s="47"/>
    </row>
    <row r="1045" customHeight="1" spans="1:1">
      <c r="A1045" s="47"/>
    </row>
    <row r="1046" customHeight="1" spans="1:1">
      <c r="A1046" s="47"/>
    </row>
    <row r="1047" customHeight="1" spans="1:1">
      <c r="A1047" s="47"/>
    </row>
    <row r="1048" customHeight="1" spans="1:1">
      <c r="A1048" s="47"/>
    </row>
    <row r="1049" customHeight="1" spans="1:1">
      <c r="A1049" s="47"/>
    </row>
    <row r="1050" customHeight="1" spans="1:1">
      <c r="A1050" s="47"/>
    </row>
    <row r="1051" customHeight="1" spans="1:1">
      <c r="A1051" s="47"/>
    </row>
    <row r="1052" customHeight="1" spans="1:1">
      <c r="A1052" s="47"/>
    </row>
    <row r="1053" customHeight="1" spans="1:1">
      <c r="A1053" s="47"/>
    </row>
    <row r="1054" customHeight="1" spans="1:1">
      <c r="A1054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229:F231"/>
    <mergeCell ref="F235:F237"/>
    <mergeCell ref="G1:G2"/>
    <mergeCell ref="H1:H2"/>
    <mergeCell ref="I1:I2"/>
    <mergeCell ref="J1:J2"/>
    <mergeCell ref="K1:K2"/>
    <mergeCell ref="L1:L2"/>
  </mergeCells>
  <conditionalFormatting sqref="G138:G139 G149 G167">
    <cfRule type="expression" dxfId="0" priority="1">
      <formula>"F56"</formula>
    </cfRule>
  </conditionalFormatting>
  <dataValidations count="1">
    <dataValidation type="list" allowBlank="1" showErrorMessage="1" sqref="C3:C107 C109:C218">
      <formula1>"Home,Food,Grocery,Snacks,Health,Transport,Fuel,Tickets,Dress,Others"</formula1>
    </dataValidation>
  </dataValidation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57"/>
  <sheetViews>
    <sheetView workbookViewId="0">
      <pane ySplit="2" topLeftCell="A3" activePane="bottomLeft" state="frozen"/>
      <selection/>
      <selection pane="bottomLeft" activeCell="B4" sqref="B4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6" t="s">
        <v>1012</v>
      </c>
      <c r="B3" s="7" t="s">
        <v>6</v>
      </c>
      <c r="C3" s="8"/>
      <c r="D3" s="9">
        <f>1763+20.03</f>
        <v>1783.03</v>
      </c>
      <c r="E3" s="10"/>
      <c r="F3" s="11">
        <f>D3-E3</f>
        <v>1783.03</v>
      </c>
      <c r="G3" s="12"/>
      <c r="H3" s="13"/>
      <c r="I3" s="13"/>
      <c r="J3" s="13"/>
      <c r="K3" s="13"/>
      <c r="L3" s="13"/>
      <c r="M3" s="13"/>
      <c r="N3" s="13"/>
    </row>
    <row r="4" customHeight="1" spans="1:14">
      <c r="A4" s="14"/>
      <c r="B4" s="7" t="s">
        <v>74</v>
      </c>
      <c r="C4" s="8"/>
      <c r="D4" s="9">
        <v>36540</v>
      </c>
      <c r="E4" s="10"/>
      <c r="F4" s="11">
        <f t="shared" ref="F4:F221" si="0">(D4-E4)+F3</f>
        <v>38323.03</v>
      </c>
      <c r="G4" s="15"/>
      <c r="H4" s="15"/>
      <c r="I4" s="15"/>
      <c r="J4" s="15"/>
      <c r="K4" s="15"/>
      <c r="L4" s="15"/>
      <c r="M4" s="15"/>
      <c r="N4" s="15"/>
    </row>
    <row r="5" customHeight="1" spans="1:14">
      <c r="A5" s="6"/>
      <c r="B5" s="7"/>
      <c r="C5" s="8" t="s">
        <v>219</v>
      </c>
      <c r="D5" s="9"/>
      <c r="E5" s="10">
        <v>200</v>
      </c>
      <c r="F5" s="11">
        <f t="shared" si="0"/>
        <v>38123.03</v>
      </c>
      <c r="G5" s="15"/>
      <c r="H5" s="15"/>
      <c r="I5" s="15"/>
      <c r="J5" s="15"/>
      <c r="K5" s="15"/>
      <c r="L5" s="15"/>
      <c r="M5" s="15"/>
      <c r="N5" s="15"/>
    </row>
    <row r="6" customHeight="1" spans="1:14">
      <c r="A6" s="6"/>
      <c r="B6" s="7" t="s">
        <v>193</v>
      </c>
      <c r="C6" s="8" t="s">
        <v>219</v>
      </c>
      <c r="D6" s="9"/>
      <c r="E6" s="10">
        <v>100</v>
      </c>
      <c r="F6" s="11">
        <f t="shared" si="0"/>
        <v>38023.03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 t="s">
        <v>1013</v>
      </c>
      <c r="B7" s="7" t="s">
        <v>350</v>
      </c>
      <c r="C7" s="8" t="s">
        <v>219</v>
      </c>
      <c r="D7" s="9"/>
      <c r="E7" s="10">
        <v>4000</v>
      </c>
      <c r="F7" s="11">
        <f t="shared" si="0"/>
        <v>34023.03</v>
      </c>
      <c r="G7" s="15"/>
      <c r="H7" s="20"/>
      <c r="I7" s="20"/>
      <c r="J7" s="20"/>
      <c r="K7" s="20"/>
      <c r="L7" s="20"/>
      <c r="M7" s="20"/>
      <c r="N7" s="20"/>
    </row>
    <row r="8" customHeight="1" spans="1:14">
      <c r="A8" s="73"/>
      <c r="B8" s="74" t="s">
        <v>24</v>
      </c>
      <c r="C8" s="75" t="s">
        <v>214</v>
      </c>
      <c r="D8" s="76"/>
      <c r="E8" s="10">
        <v>15000</v>
      </c>
      <c r="F8" s="11">
        <f t="shared" si="0"/>
        <v>19023.03</v>
      </c>
      <c r="H8" s="77"/>
      <c r="I8" s="77"/>
      <c r="J8" s="77"/>
      <c r="K8" s="77"/>
      <c r="L8" s="77"/>
      <c r="M8" s="77"/>
      <c r="N8" s="77"/>
    </row>
    <row r="9" customHeight="1" spans="1:14">
      <c r="A9" s="73"/>
      <c r="B9" s="74" t="s">
        <v>1014</v>
      </c>
      <c r="C9" s="75" t="s">
        <v>214</v>
      </c>
      <c r="D9" s="76"/>
      <c r="E9" s="78">
        <v>922</v>
      </c>
      <c r="F9" s="11">
        <f t="shared" si="0"/>
        <v>18101.03</v>
      </c>
      <c r="G9" s="20"/>
      <c r="H9" s="20"/>
      <c r="J9" s="20"/>
      <c r="K9" s="20"/>
      <c r="L9" s="20"/>
      <c r="M9" s="20"/>
      <c r="N9" s="20"/>
    </row>
    <row r="10" customHeight="1" spans="1:14">
      <c r="A10" s="73"/>
      <c r="B10" s="74" t="s">
        <v>1015</v>
      </c>
      <c r="C10" s="75" t="s">
        <v>245</v>
      </c>
      <c r="D10" s="76"/>
      <c r="E10" s="78">
        <f>2068-922</f>
        <v>1146</v>
      </c>
      <c r="F10" s="11">
        <f t="shared" si="0"/>
        <v>16955.03</v>
      </c>
      <c r="G10" s="20">
        <f>G11-F11</f>
        <v>0</v>
      </c>
      <c r="H10" s="20"/>
      <c r="J10" s="20"/>
      <c r="K10" s="20"/>
      <c r="L10" s="20"/>
      <c r="M10" s="20"/>
      <c r="N10" s="20"/>
    </row>
    <row r="11" customHeight="1" spans="1:14">
      <c r="A11" s="73"/>
      <c r="B11" s="74" t="s">
        <v>1016</v>
      </c>
      <c r="C11" s="75" t="s">
        <v>219</v>
      </c>
      <c r="D11" s="76"/>
      <c r="E11" s="78">
        <f>480+300</f>
        <v>780</v>
      </c>
      <c r="F11" s="79">
        <f t="shared" si="0"/>
        <v>16175.03</v>
      </c>
      <c r="G11" s="11">
        <f>H11+I11+J11+K11+L11+M11+N11</f>
        <v>16175.03</v>
      </c>
      <c r="H11" s="20">
        <v>0</v>
      </c>
      <c r="I11">
        <v>59.39</v>
      </c>
      <c r="J11" s="20">
        <v>0</v>
      </c>
      <c r="K11" s="20">
        <v>0</v>
      </c>
      <c r="L11" s="20">
        <v>15006.64</v>
      </c>
      <c r="M11" s="20">
        <v>0</v>
      </c>
      <c r="N11" s="20">
        <f>1000+100+5+4</f>
        <v>1109</v>
      </c>
    </row>
    <row r="12" customHeight="1" spans="1:14">
      <c r="A12" s="80" t="s">
        <v>1013</v>
      </c>
      <c r="B12" s="81" t="s">
        <v>88</v>
      </c>
      <c r="C12" s="82" t="s">
        <v>214</v>
      </c>
      <c r="D12" s="83"/>
      <c r="E12" s="84">
        <v>195</v>
      </c>
      <c r="F12" s="85">
        <f t="shared" si="0"/>
        <v>15980.03</v>
      </c>
      <c r="G12" s="86"/>
      <c r="H12" s="86"/>
      <c r="I12" s="28"/>
      <c r="J12" s="86"/>
      <c r="K12" s="86"/>
      <c r="L12" s="86"/>
      <c r="M12" s="86"/>
      <c r="N12" s="86"/>
    </row>
    <row r="13" customHeight="1" spans="1:14">
      <c r="A13" s="73" t="s">
        <v>1017</v>
      </c>
      <c r="B13" s="74" t="s">
        <v>221</v>
      </c>
      <c r="C13" s="75" t="s">
        <v>214</v>
      </c>
      <c r="D13" s="76"/>
      <c r="E13" s="78">
        <v>1090</v>
      </c>
      <c r="F13" s="79">
        <f t="shared" si="0"/>
        <v>14890.03</v>
      </c>
      <c r="G13" s="79"/>
      <c r="H13" s="77"/>
      <c r="J13" s="77"/>
      <c r="K13" s="77"/>
      <c r="L13" s="77"/>
      <c r="M13" s="77"/>
      <c r="N13" s="77"/>
    </row>
    <row r="14" customHeight="1" spans="1:6">
      <c r="A14" s="73" t="s">
        <v>1018</v>
      </c>
      <c r="C14" s="75" t="s">
        <v>219</v>
      </c>
      <c r="D14" s="76"/>
      <c r="E14" s="78">
        <v>200</v>
      </c>
      <c r="F14" s="79">
        <f t="shared" si="0"/>
        <v>14690.03</v>
      </c>
    </row>
    <row r="15" customHeight="1" spans="1:14">
      <c r="A15" s="73"/>
      <c r="B15" s="74" t="s">
        <v>129</v>
      </c>
      <c r="C15" s="75" t="s">
        <v>210</v>
      </c>
      <c r="D15" s="76"/>
      <c r="E15" s="78">
        <v>300</v>
      </c>
      <c r="F15" s="79">
        <f t="shared" si="0"/>
        <v>14390.03</v>
      </c>
      <c r="G15" s="77"/>
      <c r="H15" s="77"/>
      <c r="I15" s="77"/>
      <c r="J15" s="77"/>
      <c r="K15" s="77"/>
      <c r="L15" s="77"/>
      <c r="M15" s="77"/>
      <c r="N15" s="77"/>
    </row>
    <row r="16" customHeight="1" spans="1:14">
      <c r="A16" s="73"/>
      <c r="B16" s="74" t="s">
        <v>1019</v>
      </c>
      <c r="C16" s="75" t="s">
        <v>27</v>
      </c>
      <c r="D16" s="76"/>
      <c r="E16" s="78">
        <v>226</v>
      </c>
      <c r="F16" s="79">
        <f t="shared" si="0"/>
        <v>14164.03</v>
      </c>
      <c r="G16" s="20">
        <f>G17-F17</f>
        <v>0</v>
      </c>
      <c r="H16" s="20"/>
      <c r="J16" s="20"/>
      <c r="K16" s="20"/>
      <c r="L16" s="20"/>
      <c r="M16" s="20"/>
      <c r="N16" s="20"/>
    </row>
    <row r="17" customHeight="1" spans="1:14">
      <c r="A17" s="73"/>
      <c r="B17" s="74" t="s">
        <v>1020</v>
      </c>
      <c r="C17" s="75"/>
      <c r="D17" s="76">
        <v>101</v>
      </c>
      <c r="E17" s="78"/>
      <c r="F17" s="79">
        <f t="shared" si="0"/>
        <v>14265.03</v>
      </c>
      <c r="G17" s="11">
        <f>H17+I17+J17+K17+L17+M17+N17</f>
        <v>14265.03</v>
      </c>
      <c r="H17" s="20">
        <v>0</v>
      </c>
      <c r="I17">
        <v>59.39</v>
      </c>
      <c r="J17" s="20">
        <v>0</v>
      </c>
      <c r="K17" s="20">
        <v>0</v>
      </c>
      <c r="L17" s="20">
        <v>13196.64</v>
      </c>
      <c r="M17" s="20">
        <v>0</v>
      </c>
      <c r="N17" s="20">
        <f>1000+5+4</f>
        <v>1009</v>
      </c>
    </row>
    <row r="18" customHeight="1" spans="1:14">
      <c r="A18" s="80" t="s">
        <v>1021</v>
      </c>
      <c r="B18" s="81" t="s">
        <v>317</v>
      </c>
      <c r="C18" s="82"/>
      <c r="D18" s="83">
        <v>10000</v>
      </c>
      <c r="E18" s="84"/>
      <c r="F18" s="85">
        <f t="shared" si="0"/>
        <v>24265.03</v>
      </c>
      <c r="G18" s="27"/>
      <c r="H18" s="38"/>
      <c r="I18" s="100"/>
      <c r="J18" s="38"/>
      <c r="K18" s="38"/>
      <c r="L18" s="38"/>
      <c r="M18" s="38"/>
      <c r="N18" s="38"/>
    </row>
    <row r="19" customHeight="1" spans="1:14">
      <c r="A19" s="73"/>
      <c r="B19" s="16" t="s">
        <v>1022</v>
      </c>
      <c r="C19" s="17" t="s">
        <v>27</v>
      </c>
      <c r="D19" s="18"/>
      <c r="E19" s="19">
        <v>1806</v>
      </c>
      <c r="F19" s="79">
        <f t="shared" si="0"/>
        <v>22459.03</v>
      </c>
      <c r="G19" s="77"/>
      <c r="H19" s="77"/>
      <c r="I19" s="62"/>
      <c r="J19" s="77"/>
      <c r="K19" s="77"/>
      <c r="L19" s="77"/>
      <c r="M19" s="77"/>
      <c r="N19" s="77"/>
    </row>
    <row r="20" customHeight="1" spans="1:6">
      <c r="A20" s="73" t="s">
        <v>1023</v>
      </c>
      <c r="B20" s="74" t="s">
        <v>1024</v>
      </c>
      <c r="C20" s="75" t="s">
        <v>245</v>
      </c>
      <c r="D20" s="76"/>
      <c r="E20" s="78">
        <f>356+154</f>
        <v>510</v>
      </c>
      <c r="F20" s="79">
        <f t="shared" si="0"/>
        <v>21949.03</v>
      </c>
    </row>
    <row r="21" customHeight="1" spans="1:6">
      <c r="A21" s="73"/>
      <c r="B21" s="74" t="s">
        <v>33</v>
      </c>
      <c r="C21" s="75" t="s">
        <v>201</v>
      </c>
      <c r="D21" s="76"/>
      <c r="E21" s="78">
        <v>100</v>
      </c>
      <c r="F21" s="79">
        <f t="shared" si="0"/>
        <v>21849.03</v>
      </c>
    </row>
    <row r="22" customHeight="1" spans="1:14">
      <c r="A22" s="73"/>
      <c r="B22" s="74" t="s">
        <v>1025</v>
      </c>
      <c r="C22" s="75" t="s">
        <v>27</v>
      </c>
      <c r="D22" s="76"/>
      <c r="E22" s="78">
        <v>160</v>
      </c>
      <c r="F22" s="79">
        <f t="shared" si="0"/>
        <v>21689.03</v>
      </c>
      <c r="G22" s="79"/>
      <c r="H22" s="77"/>
      <c r="I22" s="62"/>
      <c r="J22" s="77"/>
      <c r="K22" s="77"/>
      <c r="L22" s="77"/>
      <c r="M22" s="77"/>
      <c r="N22" s="77"/>
    </row>
    <row r="23" customHeight="1" spans="1:6">
      <c r="A23" s="73"/>
      <c r="B23" s="16" t="s">
        <v>1026</v>
      </c>
      <c r="C23" s="17" t="s">
        <v>214</v>
      </c>
      <c r="D23" s="18"/>
      <c r="E23" s="19">
        <v>50</v>
      </c>
      <c r="F23" s="79">
        <f t="shared" si="0"/>
        <v>21639.03</v>
      </c>
    </row>
    <row r="24" customHeight="1" spans="1:14">
      <c r="A24" s="73"/>
      <c r="B24" s="16" t="s">
        <v>37</v>
      </c>
      <c r="C24" s="17" t="s">
        <v>86</v>
      </c>
      <c r="D24" s="18"/>
      <c r="E24" s="19">
        <v>227</v>
      </c>
      <c r="F24" s="79">
        <f t="shared" si="0"/>
        <v>21412.03</v>
      </c>
      <c r="G24" s="20">
        <f>G25-F25</f>
        <v>0</v>
      </c>
      <c r="H24" s="20"/>
      <c r="J24" s="20"/>
      <c r="K24" s="20"/>
      <c r="L24" s="20"/>
      <c r="M24" s="20"/>
      <c r="N24" s="20"/>
    </row>
    <row r="25" customHeight="1" spans="1:14">
      <c r="A25" s="73"/>
      <c r="B25" s="16" t="s">
        <v>106</v>
      </c>
      <c r="C25" s="17" t="s">
        <v>27</v>
      </c>
      <c r="D25" s="18"/>
      <c r="E25" s="19">
        <v>135</v>
      </c>
      <c r="F25" s="79">
        <f t="shared" si="0"/>
        <v>21277.03</v>
      </c>
      <c r="G25" s="11">
        <f>H25+I25+J25+K25+L25+M25+N25</f>
        <v>21277.03</v>
      </c>
      <c r="H25" s="20">
        <v>0</v>
      </c>
      <c r="I25">
        <v>7841.39</v>
      </c>
      <c r="J25" s="20">
        <v>0</v>
      </c>
      <c r="K25" s="20">
        <v>0</v>
      </c>
      <c r="L25" s="20">
        <v>12840.64</v>
      </c>
      <c r="M25" s="20">
        <v>0</v>
      </c>
      <c r="N25" s="20">
        <f>500+50+40+5</f>
        <v>595</v>
      </c>
    </row>
    <row r="26" customHeight="1" spans="1:14">
      <c r="A26" s="80" t="s">
        <v>1027</v>
      </c>
      <c r="B26" s="81" t="s">
        <v>1028</v>
      </c>
      <c r="C26" s="82" t="s">
        <v>224</v>
      </c>
      <c r="D26" s="83"/>
      <c r="E26" s="84">
        <v>19</v>
      </c>
      <c r="F26" s="85">
        <f t="shared" si="0"/>
        <v>21258.03</v>
      </c>
      <c r="G26" s="28"/>
      <c r="H26" s="28"/>
      <c r="I26" s="28"/>
      <c r="J26" s="28"/>
      <c r="K26" s="28"/>
      <c r="L26" s="28"/>
      <c r="M26" s="28"/>
      <c r="N26" s="28"/>
    </row>
    <row r="27" customHeight="1" spans="1:6">
      <c r="A27" s="73"/>
      <c r="B27" s="74" t="s">
        <v>1029</v>
      </c>
      <c r="C27" s="75" t="s">
        <v>214</v>
      </c>
      <c r="D27" s="76"/>
      <c r="E27" s="78">
        <v>380</v>
      </c>
      <c r="F27" s="79">
        <f t="shared" si="0"/>
        <v>20878.03</v>
      </c>
    </row>
    <row r="28" customHeight="1" spans="1:6">
      <c r="A28" s="73"/>
      <c r="B28" s="7" t="s">
        <v>1030</v>
      </c>
      <c r="C28" s="8" t="s">
        <v>245</v>
      </c>
      <c r="D28" s="9"/>
      <c r="E28" s="10">
        <v>376</v>
      </c>
      <c r="F28" s="79">
        <f t="shared" si="0"/>
        <v>20502.03</v>
      </c>
    </row>
    <row r="29" customHeight="1" spans="1:6">
      <c r="A29" s="73"/>
      <c r="B29" s="16" t="s">
        <v>1031</v>
      </c>
      <c r="C29" s="17" t="s">
        <v>214</v>
      </c>
      <c r="D29" s="18"/>
      <c r="E29" s="19">
        <v>202</v>
      </c>
      <c r="F29" s="79">
        <f t="shared" si="0"/>
        <v>20300.03</v>
      </c>
    </row>
    <row r="30" customHeight="1" spans="1:6">
      <c r="A30" s="73"/>
      <c r="B30" s="16" t="s">
        <v>1032</v>
      </c>
      <c r="C30" s="17" t="s">
        <v>27</v>
      </c>
      <c r="D30" s="18"/>
      <c r="E30" s="19">
        <v>177</v>
      </c>
      <c r="F30" s="79">
        <f t="shared" si="0"/>
        <v>20123.03</v>
      </c>
    </row>
    <row r="31" customHeight="1" spans="1:14">
      <c r="A31" s="73"/>
      <c r="B31" s="16" t="s">
        <v>1029</v>
      </c>
      <c r="C31" s="17" t="s">
        <v>214</v>
      </c>
      <c r="D31" s="18"/>
      <c r="E31" s="19">
        <v>381.9</v>
      </c>
      <c r="F31" s="79">
        <f t="shared" si="0"/>
        <v>19741.13</v>
      </c>
      <c r="G31" s="20"/>
      <c r="H31" s="20"/>
      <c r="J31" s="20"/>
      <c r="K31" s="20"/>
      <c r="L31" s="20"/>
      <c r="M31" s="20"/>
      <c r="N31" s="20"/>
    </row>
    <row r="32" customHeight="1" spans="1:14">
      <c r="A32" s="73"/>
      <c r="B32" s="16" t="s">
        <v>1033</v>
      </c>
      <c r="C32" s="17" t="s">
        <v>86</v>
      </c>
      <c r="D32" s="18"/>
      <c r="E32" s="19">
        <v>438</v>
      </c>
      <c r="F32" s="79">
        <f t="shared" si="0"/>
        <v>19303.13</v>
      </c>
      <c r="G32" s="11"/>
      <c r="H32" s="20"/>
      <c r="J32" s="20"/>
      <c r="K32" s="20"/>
      <c r="L32" s="20"/>
      <c r="M32" s="20"/>
      <c r="N32" s="20"/>
    </row>
    <row r="33" customHeight="1" spans="1:14">
      <c r="A33" s="73" t="s">
        <v>1034</v>
      </c>
      <c r="B33" s="16" t="s">
        <v>1035</v>
      </c>
      <c r="C33" s="17" t="s">
        <v>86</v>
      </c>
      <c r="D33" s="18"/>
      <c r="E33" s="19">
        <v>156</v>
      </c>
      <c r="F33" s="79">
        <f t="shared" si="0"/>
        <v>19147.13</v>
      </c>
      <c r="G33" s="79"/>
      <c r="H33" s="77"/>
      <c r="I33" s="62"/>
      <c r="J33" s="77"/>
      <c r="K33" s="77"/>
      <c r="L33" s="77"/>
      <c r="M33" s="77"/>
      <c r="N33" s="77"/>
    </row>
    <row r="34" customHeight="1" spans="1:14">
      <c r="A34" s="73"/>
      <c r="B34" s="16" t="s">
        <v>1036</v>
      </c>
      <c r="C34" s="17"/>
      <c r="D34" s="18">
        <v>1000</v>
      </c>
      <c r="E34" s="19"/>
      <c r="F34" s="79">
        <f t="shared" si="0"/>
        <v>20147.13</v>
      </c>
      <c r="G34" s="77"/>
      <c r="H34" s="77"/>
      <c r="I34" s="62"/>
      <c r="J34" s="77"/>
      <c r="K34" s="77"/>
      <c r="L34" s="77"/>
      <c r="M34" s="77"/>
      <c r="N34" s="77"/>
    </row>
    <row r="35" customHeight="1" spans="1:14">
      <c r="A35" s="73"/>
      <c r="B35" s="16" t="s">
        <v>268</v>
      </c>
      <c r="C35" s="17" t="s">
        <v>86</v>
      </c>
      <c r="D35" s="18"/>
      <c r="E35" s="19">
        <v>539</v>
      </c>
      <c r="F35" s="79">
        <f t="shared" si="0"/>
        <v>19608.13</v>
      </c>
      <c r="G35" s="79"/>
      <c r="H35" s="77"/>
      <c r="I35" s="62"/>
      <c r="J35" s="77"/>
      <c r="K35" s="77"/>
      <c r="L35" s="77"/>
      <c r="M35" s="77"/>
      <c r="N35" s="77"/>
    </row>
    <row r="36" customHeight="1" spans="1:6">
      <c r="A36" s="73"/>
      <c r="B36" s="16" t="s">
        <v>1037</v>
      </c>
      <c r="C36" s="17" t="s">
        <v>214</v>
      </c>
      <c r="D36" s="18"/>
      <c r="E36" s="19">
        <v>1765</v>
      </c>
      <c r="F36" s="79">
        <f t="shared" si="0"/>
        <v>17843.13</v>
      </c>
    </row>
    <row r="37" customHeight="1" spans="1:14">
      <c r="A37" s="73"/>
      <c r="B37" s="74" t="s">
        <v>1038</v>
      </c>
      <c r="C37" s="75" t="s">
        <v>86</v>
      </c>
      <c r="D37" s="76"/>
      <c r="E37" s="78">
        <f>10+10+355+209+80+35+60</f>
        <v>759</v>
      </c>
      <c r="F37" s="79">
        <f t="shared" si="0"/>
        <v>17084.13</v>
      </c>
      <c r="G37" s="21">
        <f>G38-F40</f>
        <v>269.000000000002</v>
      </c>
      <c r="H37" s="21"/>
      <c r="I37" s="30"/>
      <c r="J37" s="21"/>
      <c r="K37" s="21"/>
      <c r="L37" s="21"/>
      <c r="M37" s="21"/>
      <c r="N37" s="21"/>
    </row>
    <row r="38" customHeight="1" spans="1:14">
      <c r="A38" s="73"/>
      <c r="B38" s="74" t="s">
        <v>1039</v>
      </c>
      <c r="C38" s="75" t="s">
        <v>219</v>
      </c>
      <c r="D38" s="76"/>
      <c r="E38" s="78">
        <v>969.97</v>
      </c>
      <c r="F38" s="79">
        <f t="shared" si="0"/>
        <v>16114.16</v>
      </c>
      <c r="G38" s="29">
        <f>H38+I38+J38+K38+L38+M38+N38</f>
        <v>16114.16</v>
      </c>
      <c r="H38" s="21">
        <v>0</v>
      </c>
      <c r="I38" s="35">
        <v>4973.49</v>
      </c>
      <c r="J38" s="21">
        <v>0</v>
      </c>
      <c r="K38" s="21">
        <v>0</v>
      </c>
      <c r="L38" s="21">
        <f>11570.64-969.97</f>
        <v>10600.67</v>
      </c>
      <c r="M38" s="21">
        <v>0</v>
      </c>
      <c r="N38" s="21">
        <f>500+40</f>
        <v>540</v>
      </c>
    </row>
    <row r="39" customHeight="1" spans="1:14">
      <c r="A39" s="80" t="s">
        <v>1040</v>
      </c>
      <c r="B39" s="81" t="s">
        <v>1028</v>
      </c>
      <c r="C39" s="82" t="s">
        <v>224</v>
      </c>
      <c r="D39" s="83"/>
      <c r="E39" s="84">
        <f>50+19</f>
        <v>69</v>
      </c>
      <c r="F39" s="85">
        <f t="shared" si="0"/>
        <v>16045.16</v>
      </c>
      <c r="G39" s="87"/>
      <c r="H39" s="87"/>
      <c r="I39" s="87"/>
      <c r="J39" s="87"/>
      <c r="K39" s="87"/>
      <c r="L39" s="101" t="s">
        <v>1041</v>
      </c>
      <c r="M39" s="102">
        <f>(H25+J25+K25+L25+N25)-(H38+J38+K38+L38+N38)</f>
        <v>2294.97</v>
      </c>
      <c r="N39" s="103">
        <f>(I25+M25)-(I38+M38)</f>
        <v>2867.9</v>
      </c>
    </row>
    <row r="40" customHeight="1" spans="1:6">
      <c r="A40" s="73"/>
      <c r="B40" s="74" t="s">
        <v>33</v>
      </c>
      <c r="C40" s="75" t="s">
        <v>201</v>
      </c>
      <c r="D40" s="76"/>
      <c r="E40" s="78">
        <v>200</v>
      </c>
      <c r="F40" s="79">
        <f t="shared" si="0"/>
        <v>15845.16</v>
      </c>
    </row>
    <row r="41" customHeight="1" spans="1:14">
      <c r="A41" s="73"/>
      <c r="B41" s="74" t="s">
        <v>1042</v>
      </c>
      <c r="C41" s="75" t="s">
        <v>27</v>
      </c>
      <c r="D41" s="76"/>
      <c r="E41" s="78">
        <v>333.43</v>
      </c>
      <c r="F41" s="79">
        <f t="shared" si="0"/>
        <v>15511.73</v>
      </c>
      <c r="G41" s="21">
        <f>G42-F42</f>
        <v>0.100000000002183</v>
      </c>
      <c r="H41" s="21"/>
      <c r="I41" s="30"/>
      <c r="J41" s="21"/>
      <c r="K41" s="21"/>
      <c r="L41" s="21"/>
      <c r="M41" s="21"/>
      <c r="N41" s="21"/>
    </row>
    <row r="42" customHeight="1" spans="1:14">
      <c r="A42" s="88" t="s">
        <v>1043</v>
      </c>
      <c r="B42" s="89" t="s">
        <v>1044</v>
      </c>
      <c r="C42" s="90" t="s">
        <v>27</v>
      </c>
      <c r="D42" s="91"/>
      <c r="E42" s="92">
        <v>366</v>
      </c>
      <c r="F42" s="79">
        <f t="shared" si="0"/>
        <v>15145.73</v>
      </c>
      <c r="G42" s="93">
        <f>H42+I42+J42+K42+L42+M42+N42</f>
        <v>15145.83</v>
      </c>
      <c r="H42" s="94">
        <v>0</v>
      </c>
      <c r="I42" s="104">
        <v>4973.49</v>
      </c>
      <c r="J42" s="94">
        <v>0</v>
      </c>
      <c r="K42" s="94">
        <v>0</v>
      </c>
      <c r="L42" s="94">
        <v>9632.34</v>
      </c>
      <c r="M42" s="94">
        <v>0</v>
      </c>
      <c r="N42" s="94">
        <f>500+40</f>
        <v>540</v>
      </c>
    </row>
    <row r="43" customHeight="1" spans="1:14">
      <c r="A43" s="6"/>
      <c r="B43" s="74" t="s">
        <v>1045</v>
      </c>
      <c r="C43" s="75"/>
      <c r="D43" s="76">
        <v>1000</v>
      </c>
      <c r="E43" s="78"/>
      <c r="F43" s="85">
        <f t="shared" si="0"/>
        <v>16145.73</v>
      </c>
      <c r="G43" s="79"/>
      <c r="H43" s="77"/>
      <c r="I43" s="62"/>
      <c r="J43" s="77"/>
      <c r="K43" s="77"/>
      <c r="L43" s="77"/>
      <c r="M43" s="77"/>
      <c r="N43" s="77"/>
    </row>
    <row r="44" customHeight="1" spans="1:14">
      <c r="A44" s="6" t="s">
        <v>1046</v>
      </c>
      <c r="B44" s="74"/>
      <c r="C44" s="75" t="s">
        <v>219</v>
      </c>
      <c r="D44" s="76"/>
      <c r="E44" s="78">
        <v>1200</v>
      </c>
      <c r="F44" s="79">
        <f t="shared" si="0"/>
        <v>14945.73</v>
      </c>
      <c r="G44" s="79"/>
      <c r="H44" s="77"/>
      <c r="I44" s="62"/>
      <c r="J44" s="77"/>
      <c r="K44" s="77"/>
      <c r="L44" s="77"/>
      <c r="M44" s="77"/>
      <c r="N44" s="77"/>
    </row>
    <row r="45" customHeight="1" spans="1:14">
      <c r="A45" s="73"/>
      <c r="B45" s="74" t="s">
        <v>1047</v>
      </c>
      <c r="C45" s="75" t="s">
        <v>27</v>
      </c>
      <c r="D45" s="76"/>
      <c r="E45" s="78">
        <v>14.76</v>
      </c>
      <c r="F45" s="79">
        <f t="shared" si="0"/>
        <v>14930.97</v>
      </c>
      <c r="G45" s="77"/>
      <c r="H45" s="77"/>
      <c r="I45" s="62"/>
      <c r="J45" s="77"/>
      <c r="K45" s="77"/>
      <c r="L45" s="77"/>
      <c r="M45" s="77"/>
      <c r="N45" s="77"/>
    </row>
    <row r="46" customHeight="1" spans="1:6">
      <c r="A46" s="73"/>
      <c r="B46" s="74" t="s">
        <v>1048</v>
      </c>
      <c r="C46" s="75" t="s">
        <v>86</v>
      </c>
      <c r="D46" s="76"/>
      <c r="E46" s="78">
        <v>126</v>
      </c>
      <c r="F46" s="79">
        <f t="shared" si="0"/>
        <v>14804.97</v>
      </c>
    </row>
    <row r="47" customHeight="1" spans="1:6">
      <c r="A47" s="73"/>
      <c r="B47" s="74" t="s">
        <v>1049</v>
      </c>
      <c r="C47" s="75" t="s">
        <v>224</v>
      </c>
      <c r="D47" s="76"/>
      <c r="E47" s="78">
        <v>41</v>
      </c>
      <c r="F47" s="79">
        <f t="shared" si="0"/>
        <v>14763.97</v>
      </c>
    </row>
    <row r="48" customHeight="1" spans="1:14">
      <c r="A48" s="73"/>
      <c r="B48" s="16" t="s">
        <v>627</v>
      </c>
      <c r="C48" s="17" t="s">
        <v>27</v>
      </c>
      <c r="D48" s="18"/>
      <c r="E48" s="19">
        <v>1930</v>
      </c>
      <c r="F48" s="79">
        <f t="shared" si="0"/>
        <v>12833.97</v>
      </c>
      <c r="G48" s="77"/>
      <c r="H48" s="77"/>
      <c r="I48" s="62"/>
      <c r="J48" s="77"/>
      <c r="K48" s="77"/>
      <c r="L48" s="77"/>
      <c r="M48" s="77"/>
      <c r="N48" s="77"/>
    </row>
    <row r="49" customHeight="1" spans="1:14">
      <c r="A49" s="73" t="s">
        <v>1050</v>
      </c>
      <c r="B49" s="16" t="s">
        <v>1051</v>
      </c>
      <c r="C49" s="17" t="s">
        <v>27</v>
      </c>
      <c r="D49" s="18"/>
      <c r="E49" s="19">
        <v>186</v>
      </c>
      <c r="F49" s="79">
        <f t="shared" si="0"/>
        <v>12647.97</v>
      </c>
      <c r="G49" s="79"/>
      <c r="H49" s="77"/>
      <c r="I49" s="62"/>
      <c r="J49" s="77"/>
      <c r="K49" s="77"/>
      <c r="L49" s="77"/>
      <c r="M49" s="77"/>
      <c r="N49" s="77"/>
    </row>
    <row r="50" customHeight="1" spans="1:8">
      <c r="A50" s="73" t="s">
        <v>1052</v>
      </c>
      <c r="B50" s="16" t="s">
        <v>34</v>
      </c>
      <c r="C50" s="17" t="s">
        <v>224</v>
      </c>
      <c r="D50" s="18"/>
      <c r="E50" s="19">
        <f>382-186</f>
        <v>196</v>
      </c>
      <c r="F50" s="79">
        <f t="shared" si="0"/>
        <v>12451.97</v>
      </c>
      <c r="H50" s="62"/>
    </row>
    <row r="51" customHeight="1" spans="1:12">
      <c r="A51" s="73"/>
      <c r="B51" s="16" t="s">
        <v>886</v>
      </c>
      <c r="C51" s="17" t="s">
        <v>214</v>
      </c>
      <c r="D51" s="18"/>
      <c r="E51" s="19">
        <v>75</v>
      </c>
      <c r="F51" s="79">
        <f t="shared" si="0"/>
        <v>12376.97</v>
      </c>
      <c r="G51" s="77"/>
      <c r="I51" s="105"/>
      <c r="L51" s="77"/>
    </row>
    <row r="52" customHeight="1" spans="1:14">
      <c r="A52" s="73" t="s">
        <v>1053</v>
      </c>
      <c r="B52" s="16" t="s">
        <v>1054</v>
      </c>
      <c r="C52" s="17" t="s">
        <v>27</v>
      </c>
      <c r="D52" s="18"/>
      <c r="E52" s="19">
        <v>155</v>
      </c>
      <c r="F52" s="79">
        <f t="shared" si="0"/>
        <v>12221.97</v>
      </c>
      <c r="G52" s="21">
        <f>G53-F53</f>
        <v>0</v>
      </c>
      <c r="H52" s="21"/>
      <c r="I52" s="30"/>
      <c r="J52" s="21"/>
      <c r="K52" s="21"/>
      <c r="L52" s="21"/>
      <c r="M52" s="21"/>
      <c r="N52" s="21"/>
    </row>
    <row r="53" customHeight="1" spans="1:14">
      <c r="A53" s="73"/>
      <c r="B53" s="74" t="s">
        <v>1028</v>
      </c>
      <c r="C53" s="75" t="s">
        <v>224</v>
      </c>
      <c r="D53" s="76"/>
      <c r="E53" s="78">
        <v>18.9</v>
      </c>
      <c r="F53" s="79">
        <f t="shared" si="0"/>
        <v>12203.07</v>
      </c>
      <c r="G53" s="29">
        <f>H53+I53+J53+K53+L53+M53+N53</f>
        <v>12203.07</v>
      </c>
      <c r="H53" s="21">
        <v>0</v>
      </c>
      <c r="I53" s="35">
        <v>2431.49</v>
      </c>
      <c r="J53" s="21">
        <v>0</v>
      </c>
      <c r="K53" s="21">
        <v>0</v>
      </c>
      <c r="L53" s="21">
        <v>9431.58</v>
      </c>
      <c r="M53" s="21">
        <v>0</v>
      </c>
      <c r="N53" s="21">
        <f>300+40</f>
        <v>340</v>
      </c>
    </row>
    <row r="54" customHeight="1" spans="1:14">
      <c r="A54" s="80" t="s">
        <v>1055</v>
      </c>
      <c r="B54" s="95" t="s">
        <v>1056</v>
      </c>
      <c r="C54" s="96" t="s">
        <v>86</v>
      </c>
      <c r="D54" s="97"/>
      <c r="E54" s="98">
        <v>797</v>
      </c>
      <c r="F54" s="85">
        <f t="shared" si="0"/>
        <v>11406.07</v>
      </c>
      <c r="G54" s="87"/>
      <c r="H54" s="87"/>
      <c r="I54" s="87"/>
      <c r="J54" s="87"/>
      <c r="K54" s="87"/>
      <c r="L54" s="101" t="s">
        <v>1041</v>
      </c>
      <c r="M54" s="102">
        <f>(H38+J38+K38+L38+N38)-(H53+J53+K53+L53+N53)</f>
        <v>1369.09</v>
      </c>
      <c r="N54" s="103">
        <f>(I38+M38)-(I53+M53)</f>
        <v>2542</v>
      </c>
    </row>
    <row r="55" customHeight="1" spans="1:14">
      <c r="A55" s="73"/>
      <c r="B55" s="16" t="s">
        <v>23</v>
      </c>
      <c r="C55" s="17"/>
      <c r="D55" s="18">
        <v>5</v>
      </c>
      <c r="E55" s="19"/>
      <c r="F55" s="79">
        <f t="shared" si="0"/>
        <v>11411.07</v>
      </c>
      <c r="G55" s="77"/>
      <c r="H55" s="77"/>
      <c r="I55" s="77"/>
      <c r="J55" s="77"/>
      <c r="K55" s="77"/>
      <c r="L55" s="77"/>
      <c r="M55" s="77"/>
      <c r="N55" s="77"/>
    </row>
    <row r="56" customHeight="1" spans="1:14">
      <c r="A56" s="73"/>
      <c r="B56" s="16" t="s">
        <v>923</v>
      </c>
      <c r="C56" s="17" t="s">
        <v>224</v>
      </c>
      <c r="D56" s="18"/>
      <c r="E56" s="19">
        <v>160</v>
      </c>
      <c r="F56" s="79">
        <f t="shared" si="0"/>
        <v>11251.07</v>
      </c>
      <c r="G56" s="21">
        <f>G57-F57</f>
        <v>0</v>
      </c>
      <c r="H56" s="21"/>
      <c r="I56" s="30"/>
      <c r="J56" s="21"/>
      <c r="K56" s="21"/>
      <c r="L56" s="21"/>
      <c r="M56" s="21"/>
      <c r="N56" s="21"/>
    </row>
    <row r="57" customHeight="1" spans="1:14">
      <c r="A57" s="88"/>
      <c r="B57" s="89" t="s">
        <v>1057</v>
      </c>
      <c r="C57" s="90" t="s">
        <v>245</v>
      </c>
      <c r="D57" s="91"/>
      <c r="E57" s="92">
        <v>406</v>
      </c>
      <c r="F57" s="99">
        <f t="shared" si="0"/>
        <v>10845.07</v>
      </c>
      <c r="G57" s="93">
        <f>H57+I57+J57+K57+L57+M57+N57</f>
        <v>10845.07</v>
      </c>
      <c r="H57" s="94">
        <v>0</v>
      </c>
      <c r="I57" s="104">
        <v>1479.49</v>
      </c>
      <c r="J57" s="94">
        <v>0</v>
      </c>
      <c r="K57" s="94">
        <v>0</v>
      </c>
      <c r="L57" s="94">
        <v>9025.58</v>
      </c>
      <c r="M57" s="94">
        <v>0</v>
      </c>
      <c r="N57" s="94">
        <f>300+40</f>
        <v>340</v>
      </c>
    </row>
    <row r="58" customHeight="1" spans="1:6">
      <c r="A58" s="73" t="s">
        <v>1058</v>
      </c>
      <c r="B58" s="74" t="s">
        <v>627</v>
      </c>
      <c r="C58" s="75" t="s">
        <v>27</v>
      </c>
      <c r="D58" s="76"/>
      <c r="E58" s="78">
        <v>1436.46</v>
      </c>
      <c r="F58" s="79">
        <f t="shared" si="0"/>
        <v>9408.61</v>
      </c>
    </row>
    <row r="59" customHeight="1" spans="1:14">
      <c r="A59" s="73"/>
      <c r="B59" s="74" t="s">
        <v>792</v>
      </c>
      <c r="C59" s="75" t="s">
        <v>201</v>
      </c>
      <c r="D59" s="76"/>
      <c r="E59" s="78">
        <v>210</v>
      </c>
      <c r="F59" s="79">
        <f t="shared" si="0"/>
        <v>9198.61</v>
      </c>
      <c r="G59" s="77"/>
      <c r="H59" s="77"/>
      <c r="I59" s="77"/>
      <c r="J59" s="77"/>
      <c r="K59" s="77"/>
      <c r="L59" s="77"/>
      <c r="M59" s="77"/>
      <c r="N59" s="77"/>
    </row>
    <row r="60" customHeight="1" spans="1:14">
      <c r="A60" s="73"/>
      <c r="B60" s="74" t="s">
        <v>331</v>
      </c>
      <c r="C60" s="75" t="s">
        <v>27</v>
      </c>
      <c r="D60" s="76"/>
      <c r="E60" s="78">
        <v>50</v>
      </c>
      <c r="F60" s="79">
        <f t="shared" si="0"/>
        <v>9148.61</v>
      </c>
      <c r="G60" s="77"/>
      <c r="H60" s="77"/>
      <c r="I60" s="62"/>
      <c r="J60" s="77"/>
      <c r="K60" s="77"/>
      <c r="L60" s="77"/>
      <c r="M60" s="77"/>
      <c r="N60" s="77"/>
    </row>
    <row r="61" customHeight="1" spans="1:14">
      <c r="A61" s="73"/>
      <c r="B61" s="74" t="s">
        <v>1059</v>
      </c>
      <c r="C61" s="75" t="s">
        <v>27</v>
      </c>
      <c r="D61" s="76"/>
      <c r="E61" s="78">
        <v>90</v>
      </c>
      <c r="F61" s="79">
        <f t="shared" si="0"/>
        <v>9058.61</v>
      </c>
      <c r="G61" s="79"/>
      <c r="H61" s="77"/>
      <c r="I61" s="62"/>
      <c r="J61" s="77"/>
      <c r="K61" s="77"/>
      <c r="L61" s="77"/>
      <c r="M61" s="77"/>
      <c r="N61" s="77"/>
    </row>
    <row r="62" customHeight="1" spans="1:14">
      <c r="A62" s="73"/>
      <c r="B62" s="74" t="s">
        <v>407</v>
      </c>
      <c r="C62" s="75" t="s">
        <v>27</v>
      </c>
      <c r="D62" s="76"/>
      <c r="E62" s="78">
        <v>111</v>
      </c>
      <c r="F62" s="79">
        <f t="shared" si="0"/>
        <v>8947.61</v>
      </c>
      <c r="G62" s="21"/>
      <c r="H62" s="21"/>
      <c r="I62" s="30"/>
      <c r="J62" s="21"/>
      <c r="K62" s="21"/>
      <c r="L62" s="21"/>
      <c r="M62" s="21"/>
      <c r="N62" s="21"/>
    </row>
    <row r="63" customHeight="1" spans="1:14">
      <c r="A63" s="73"/>
      <c r="B63" s="74" t="s">
        <v>1060</v>
      </c>
      <c r="C63" s="75" t="s">
        <v>214</v>
      </c>
      <c r="D63" s="76"/>
      <c r="E63" s="78">
        <v>100</v>
      </c>
      <c r="F63" s="79">
        <f t="shared" si="0"/>
        <v>8847.61</v>
      </c>
      <c r="G63" s="29"/>
      <c r="H63" s="21"/>
      <c r="I63" s="35"/>
      <c r="J63" s="21"/>
      <c r="K63" s="21"/>
      <c r="L63" s="21"/>
      <c r="M63" s="21"/>
      <c r="N63" s="21"/>
    </row>
    <row r="64" customHeight="1" spans="1:14">
      <c r="A64" s="73" t="s">
        <v>1061</v>
      </c>
      <c r="B64" s="16" t="s">
        <v>1062</v>
      </c>
      <c r="C64" s="17" t="s">
        <v>27</v>
      </c>
      <c r="D64" s="18"/>
      <c r="E64" s="19">
        <f>376-216</f>
        <v>160</v>
      </c>
      <c r="F64" s="79">
        <f t="shared" si="0"/>
        <v>8687.61</v>
      </c>
      <c r="G64" s="79"/>
      <c r="H64" s="77"/>
      <c r="J64" s="77"/>
      <c r="K64" s="77"/>
      <c r="L64" s="77"/>
      <c r="M64" s="77"/>
      <c r="N64" s="77"/>
    </row>
    <row r="65" customHeight="1" spans="1:14">
      <c r="A65" s="73"/>
      <c r="B65" s="16" t="s">
        <v>1063</v>
      </c>
      <c r="C65" s="17" t="s">
        <v>245</v>
      </c>
      <c r="D65" s="18"/>
      <c r="E65" s="19">
        <v>216</v>
      </c>
      <c r="F65" s="79">
        <f t="shared" si="0"/>
        <v>8471.61</v>
      </c>
      <c r="G65" s="21">
        <f>G66-F66</f>
        <v>0</v>
      </c>
      <c r="H65" s="21"/>
      <c r="I65" s="30"/>
      <c r="J65" s="21"/>
      <c r="K65" s="21"/>
      <c r="L65" s="21"/>
      <c r="M65" s="21"/>
      <c r="N65" s="21"/>
    </row>
    <row r="66" customHeight="1" spans="1:14">
      <c r="A66" s="73"/>
      <c r="B66" s="74"/>
      <c r="C66" s="75" t="s">
        <v>219</v>
      </c>
      <c r="D66" s="76"/>
      <c r="E66" s="78">
        <v>200</v>
      </c>
      <c r="F66" s="79">
        <f t="shared" si="0"/>
        <v>8271.61</v>
      </c>
      <c r="G66" s="29">
        <f>H66+I66+J66+K66+L66+M66+N66</f>
        <v>8271.61</v>
      </c>
      <c r="H66" s="21">
        <v>0</v>
      </c>
      <c r="I66" s="35">
        <v>1103.49</v>
      </c>
      <c r="J66" s="21">
        <v>0</v>
      </c>
      <c r="K66" s="21">
        <v>0</v>
      </c>
      <c r="L66" s="21">
        <v>7138.12</v>
      </c>
      <c r="M66" s="21">
        <v>0</v>
      </c>
      <c r="N66" s="21">
        <v>30</v>
      </c>
    </row>
    <row r="67" customHeight="1" spans="1:14">
      <c r="A67" s="80" t="s">
        <v>1064</v>
      </c>
      <c r="B67" s="81" t="s">
        <v>1028</v>
      </c>
      <c r="C67" s="82" t="s">
        <v>224</v>
      </c>
      <c r="D67" s="83"/>
      <c r="E67" s="84">
        <v>18</v>
      </c>
      <c r="F67" s="85">
        <f t="shared" si="0"/>
        <v>8253.61</v>
      </c>
      <c r="G67" s="106"/>
      <c r="H67" s="107"/>
      <c r="I67" s="119"/>
      <c r="J67" s="107"/>
      <c r="K67" s="107"/>
      <c r="L67" s="107"/>
      <c r="M67" s="107"/>
      <c r="N67" s="107"/>
    </row>
    <row r="68" customHeight="1" spans="1:14">
      <c r="A68" s="73"/>
      <c r="B68" s="74" t="s">
        <v>845</v>
      </c>
      <c r="C68" s="75" t="s">
        <v>27</v>
      </c>
      <c r="D68" s="76"/>
      <c r="E68" s="78">
        <v>239</v>
      </c>
      <c r="F68" s="79">
        <f t="shared" si="0"/>
        <v>8014.61</v>
      </c>
      <c r="G68" s="77"/>
      <c r="H68" s="77"/>
      <c r="I68" s="62"/>
      <c r="J68" s="77"/>
      <c r="K68" s="77"/>
      <c r="L68" s="77"/>
      <c r="M68" s="77"/>
      <c r="N68" s="77"/>
    </row>
    <row r="69" customHeight="1" spans="1:14">
      <c r="A69" s="73"/>
      <c r="B69" s="108" t="s">
        <v>1065</v>
      </c>
      <c r="C69" s="75" t="s">
        <v>27</v>
      </c>
      <c r="D69" s="76"/>
      <c r="E69" s="78">
        <f>280-239</f>
        <v>41</v>
      </c>
      <c r="F69" s="79">
        <f t="shared" si="0"/>
        <v>7973.61</v>
      </c>
      <c r="G69" s="79"/>
      <c r="H69" s="77"/>
      <c r="J69" s="77"/>
      <c r="K69" s="77"/>
      <c r="L69" s="77"/>
      <c r="M69" s="77"/>
      <c r="N69" s="77"/>
    </row>
    <row r="70" customHeight="1" spans="1:14">
      <c r="A70" s="73" t="s">
        <v>1066</v>
      </c>
      <c r="B70" s="108" t="s">
        <v>1028</v>
      </c>
      <c r="C70" s="75" t="s">
        <v>224</v>
      </c>
      <c r="D70" s="76"/>
      <c r="E70" s="78">
        <v>18</v>
      </c>
      <c r="F70" s="79">
        <f t="shared" si="0"/>
        <v>7955.61</v>
      </c>
      <c r="G70" s="79"/>
      <c r="H70" s="77"/>
      <c r="J70" s="77"/>
      <c r="K70" s="77"/>
      <c r="L70" s="77"/>
      <c r="M70" s="77"/>
      <c r="N70" s="77"/>
    </row>
    <row r="71" customHeight="1" spans="1:14">
      <c r="A71" s="73"/>
      <c r="B71" s="108" t="s">
        <v>1059</v>
      </c>
      <c r="C71" s="75" t="s">
        <v>27</v>
      </c>
      <c r="D71" s="76"/>
      <c r="E71" s="78">
        <v>180</v>
      </c>
      <c r="F71" s="79">
        <f t="shared" si="0"/>
        <v>7775.61</v>
      </c>
      <c r="G71" s="21"/>
      <c r="H71" s="21"/>
      <c r="I71" s="30"/>
      <c r="J71" s="21"/>
      <c r="K71" s="21"/>
      <c r="L71" s="21"/>
      <c r="M71" s="21"/>
      <c r="N71" s="21"/>
    </row>
    <row r="72" customHeight="1" spans="1:14">
      <c r="A72" s="73"/>
      <c r="B72" s="109" t="s">
        <v>1067</v>
      </c>
      <c r="C72" s="17" t="s">
        <v>27</v>
      </c>
      <c r="D72" s="18"/>
      <c r="E72" s="19">
        <v>213</v>
      </c>
      <c r="F72" s="79">
        <f t="shared" si="0"/>
        <v>7562.61</v>
      </c>
      <c r="G72" s="29"/>
      <c r="H72" s="21"/>
      <c r="I72" s="35"/>
      <c r="J72" s="21"/>
      <c r="K72" s="21"/>
      <c r="L72" s="21"/>
      <c r="M72" s="21"/>
      <c r="N72" s="21"/>
    </row>
    <row r="73" customHeight="1" spans="1:14">
      <c r="A73" s="73"/>
      <c r="B73" s="108" t="s">
        <v>1068</v>
      </c>
      <c r="C73" s="75" t="s">
        <v>224</v>
      </c>
      <c r="D73" s="76"/>
      <c r="E73" s="78">
        <v>545</v>
      </c>
      <c r="F73" s="79">
        <f t="shared" si="0"/>
        <v>7017.61</v>
      </c>
      <c r="G73" s="79"/>
      <c r="H73" s="77"/>
      <c r="J73" s="77"/>
      <c r="K73" s="77"/>
      <c r="L73" s="77"/>
      <c r="M73" s="77"/>
      <c r="N73" s="77"/>
    </row>
    <row r="74" customHeight="1" spans="1:14">
      <c r="A74" s="73"/>
      <c r="B74" s="109" t="s">
        <v>1069</v>
      </c>
      <c r="C74" s="17" t="s">
        <v>27</v>
      </c>
      <c r="D74" s="18"/>
      <c r="E74" s="19">
        <v>329</v>
      </c>
      <c r="F74" s="79">
        <f t="shared" si="0"/>
        <v>6688.61</v>
      </c>
      <c r="G74" s="110"/>
      <c r="H74" s="105"/>
      <c r="I74" s="105"/>
      <c r="J74" s="105"/>
      <c r="K74" s="105"/>
      <c r="L74" s="105"/>
      <c r="M74" s="105"/>
      <c r="N74" s="105"/>
    </row>
    <row r="75" customHeight="1" spans="1:6">
      <c r="A75" s="73" t="s">
        <v>1070</v>
      </c>
      <c r="B75" s="108" t="s">
        <v>1071</v>
      </c>
      <c r="C75" s="75" t="s">
        <v>27</v>
      </c>
      <c r="D75" s="76"/>
      <c r="E75" s="78">
        <v>560.49</v>
      </c>
      <c r="F75" s="79">
        <f t="shared" si="0"/>
        <v>6128.12</v>
      </c>
    </row>
    <row r="76" customHeight="1" spans="1:14">
      <c r="A76" s="73"/>
      <c r="B76" s="74" t="s">
        <v>31</v>
      </c>
      <c r="C76" s="75" t="s">
        <v>27</v>
      </c>
      <c r="D76" s="76"/>
      <c r="E76" s="78">
        <v>350</v>
      </c>
      <c r="F76" s="79">
        <f t="shared" si="0"/>
        <v>5778.12</v>
      </c>
      <c r="G76" s="21">
        <f>G77-F77</f>
        <v>0</v>
      </c>
      <c r="H76" s="21"/>
      <c r="I76" s="30"/>
      <c r="J76" s="21"/>
      <c r="K76" s="21"/>
      <c r="L76" s="21"/>
      <c r="M76" s="21"/>
      <c r="N76" s="21"/>
    </row>
    <row r="77" customHeight="1" spans="1:14">
      <c r="A77" s="73"/>
      <c r="B77" s="74" t="s">
        <v>792</v>
      </c>
      <c r="C77" s="75" t="s">
        <v>201</v>
      </c>
      <c r="D77" s="76"/>
      <c r="E77" s="78">
        <v>200</v>
      </c>
      <c r="F77" s="79">
        <f t="shared" si="0"/>
        <v>5578.12</v>
      </c>
      <c r="G77" s="29">
        <f>H77+I77+J77+K77+L77+M77+N77</f>
        <v>5578.12</v>
      </c>
      <c r="H77" s="21">
        <v>0</v>
      </c>
      <c r="I77" s="35">
        <f>1789.49+581+191</f>
        <v>2561.49</v>
      </c>
      <c r="J77" s="21">
        <v>0</v>
      </c>
      <c r="K77" s="21">
        <v>0</v>
      </c>
      <c r="L77" s="21">
        <v>2986.63</v>
      </c>
      <c r="M77" s="21">
        <v>0</v>
      </c>
      <c r="N77" s="21">
        <v>30</v>
      </c>
    </row>
    <row r="78" customHeight="1" spans="1:14">
      <c r="A78" s="80" t="s">
        <v>1072</v>
      </c>
      <c r="B78" s="95" t="s">
        <v>1073</v>
      </c>
      <c r="C78" s="96" t="s">
        <v>27</v>
      </c>
      <c r="D78" s="97"/>
      <c r="E78" s="98">
        <v>581</v>
      </c>
      <c r="F78" s="85">
        <f t="shared" si="0"/>
        <v>4997.12</v>
      </c>
      <c r="G78" s="86"/>
      <c r="H78" s="86"/>
      <c r="I78" s="120"/>
      <c r="J78" s="86"/>
      <c r="K78" s="86"/>
      <c r="L78" s="86"/>
      <c r="M78" s="86"/>
      <c r="N78" s="86"/>
    </row>
    <row r="79" customHeight="1" spans="1:14">
      <c r="A79" s="73"/>
      <c r="B79" s="16" t="s">
        <v>1074</v>
      </c>
      <c r="C79" s="17" t="s">
        <v>27</v>
      </c>
      <c r="D79" s="18"/>
      <c r="E79" s="19">
        <v>191</v>
      </c>
      <c r="F79" s="79">
        <f t="shared" si="0"/>
        <v>4806.12</v>
      </c>
      <c r="G79" s="79"/>
      <c r="H79" s="77"/>
      <c r="I79" s="62"/>
      <c r="J79" s="77"/>
      <c r="K79" s="77"/>
      <c r="L79" s="77"/>
      <c r="M79" s="77"/>
      <c r="N79" s="77"/>
    </row>
    <row r="80" customHeight="1" spans="1:14">
      <c r="A80" s="73"/>
      <c r="B80" s="74" t="s">
        <v>1028</v>
      </c>
      <c r="C80" s="75" t="s">
        <v>224</v>
      </c>
      <c r="D80" s="76"/>
      <c r="E80" s="78">
        <v>19</v>
      </c>
      <c r="F80" s="79">
        <f t="shared" si="0"/>
        <v>4787.12</v>
      </c>
      <c r="G80" s="79"/>
      <c r="H80" s="77"/>
      <c r="I80" s="59"/>
      <c r="J80" s="77"/>
      <c r="K80" s="77"/>
      <c r="L80" s="77"/>
      <c r="M80" s="77"/>
      <c r="N80" s="77"/>
    </row>
    <row r="81" customHeight="1" spans="1:14">
      <c r="A81" s="73"/>
      <c r="B81" s="74" t="s">
        <v>1075</v>
      </c>
      <c r="C81" s="75" t="s">
        <v>27</v>
      </c>
      <c r="D81" s="76"/>
      <c r="E81" s="78">
        <v>68</v>
      </c>
      <c r="F81" s="79">
        <f t="shared" si="0"/>
        <v>4719.12</v>
      </c>
      <c r="G81" s="79"/>
      <c r="H81" s="77"/>
      <c r="I81" s="59"/>
      <c r="J81" s="77"/>
      <c r="K81" s="77"/>
      <c r="L81" s="77"/>
      <c r="M81" s="77"/>
      <c r="N81" s="77"/>
    </row>
    <row r="82" customHeight="1" spans="1:14">
      <c r="A82" s="73" t="s">
        <v>1076</v>
      </c>
      <c r="B82" s="74" t="s">
        <v>1077</v>
      </c>
      <c r="C82" s="75" t="s">
        <v>210</v>
      </c>
      <c r="D82" s="76"/>
      <c r="E82" s="78">
        <v>420</v>
      </c>
      <c r="F82" s="79">
        <f t="shared" si="0"/>
        <v>4299.12</v>
      </c>
      <c r="H82" s="77"/>
      <c r="J82" s="77"/>
      <c r="K82" s="77"/>
      <c r="L82" s="77"/>
      <c r="M82" s="77"/>
      <c r="N82" s="77"/>
    </row>
    <row r="83" customHeight="1" spans="1:14">
      <c r="A83" s="73"/>
      <c r="B83" s="74" t="s">
        <v>310</v>
      </c>
      <c r="C83" s="75"/>
      <c r="D83" s="76">
        <v>1000</v>
      </c>
      <c r="E83" s="78"/>
      <c r="F83" s="79">
        <f t="shared" si="0"/>
        <v>5299.12</v>
      </c>
      <c r="G83" s="77"/>
      <c r="H83" s="77"/>
      <c r="J83" s="77"/>
      <c r="K83" s="77"/>
      <c r="L83" s="77"/>
      <c r="M83" s="77"/>
      <c r="N83" s="77"/>
    </row>
    <row r="84" customHeight="1" spans="1:14">
      <c r="A84" s="73"/>
      <c r="B84" s="74" t="s">
        <v>1078</v>
      </c>
      <c r="C84" s="75" t="s">
        <v>219</v>
      </c>
      <c r="D84" s="76"/>
      <c r="E84" s="78">
        <v>173</v>
      </c>
      <c r="F84" s="79">
        <f t="shared" si="0"/>
        <v>5126.12</v>
      </c>
      <c r="G84" s="77"/>
      <c r="H84" s="77"/>
      <c r="J84" s="77"/>
      <c r="K84" s="77"/>
      <c r="L84" s="77"/>
      <c r="M84" s="77"/>
      <c r="N84" s="77"/>
    </row>
    <row r="85" customHeight="1" spans="1:14">
      <c r="A85" s="73"/>
      <c r="B85" s="74" t="s">
        <v>1079</v>
      </c>
      <c r="C85" s="75" t="s">
        <v>27</v>
      </c>
      <c r="D85" s="76"/>
      <c r="E85" s="78">
        <v>280</v>
      </c>
      <c r="F85" s="79">
        <f t="shared" si="0"/>
        <v>4846.12</v>
      </c>
      <c r="G85" s="79"/>
      <c r="H85" s="77"/>
      <c r="J85" s="77"/>
      <c r="K85" s="77"/>
      <c r="L85" s="77"/>
      <c r="M85" s="77"/>
      <c r="N85" s="77"/>
    </row>
    <row r="86" customHeight="1" spans="1:14">
      <c r="A86" s="73"/>
      <c r="B86" s="74" t="s">
        <v>1080</v>
      </c>
      <c r="C86" s="75"/>
      <c r="D86" s="76">
        <v>5000</v>
      </c>
      <c r="E86" s="78"/>
      <c r="F86" s="79">
        <f t="shared" si="0"/>
        <v>9846.12</v>
      </c>
      <c r="G86" s="79"/>
      <c r="H86" s="77"/>
      <c r="I86" s="62"/>
      <c r="J86" s="77"/>
      <c r="K86" s="77"/>
      <c r="L86" s="77"/>
      <c r="M86" s="77"/>
      <c r="N86" s="77"/>
    </row>
    <row r="87" customHeight="1" spans="1:14">
      <c r="A87" s="73"/>
      <c r="B87" s="74" t="s">
        <v>659</v>
      </c>
      <c r="C87" s="75" t="s">
        <v>201</v>
      </c>
      <c r="D87" s="76"/>
      <c r="E87" s="78">
        <v>200</v>
      </c>
      <c r="F87" s="79">
        <f t="shared" si="0"/>
        <v>9646.12</v>
      </c>
      <c r="G87" s="21">
        <f>G88-F88</f>
        <v>-999.999999999998</v>
      </c>
      <c r="H87" s="21"/>
      <c r="I87" s="30"/>
      <c r="J87" s="21"/>
      <c r="K87" s="21"/>
      <c r="L87" s="21"/>
      <c r="M87" s="21"/>
      <c r="N87" s="21"/>
    </row>
    <row r="88" customHeight="1" spans="1:14">
      <c r="A88" s="73"/>
      <c r="B88" s="74" t="s">
        <v>1081</v>
      </c>
      <c r="C88" s="75" t="s">
        <v>219</v>
      </c>
      <c r="D88" s="76"/>
      <c r="E88" s="78">
        <v>5.9</v>
      </c>
      <c r="F88" s="79">
        <f t="shared" si="0"/>
        <v>9640.22</v>
      </c>
      <c r="G88" s="29">
        <f>H88+I88+J88+K88+L88+M88+N88</f>
        <v>8640.22</v>
      </c>
      <c r="H88" s="21">
        <v>0</v>
      </c>
      <c r="I88" s="35">
        <v>6789.49</v>
      </c>
      <c r="J88" s="21">
        <v>0</v>
      </c>
      <c r="K88" s="21">
        <v>0</v>
      </c>
      <c r="L88" s="21">
        <v>1400.73</v>
      </c>
      <c r="M88" s="21">
        <v>0</v>
      </c>
      <c r="N88" s="21">
        <v>450</v>
      </c>
    </row>
    <row r="89" customHeight="1" spans="1:14">
      <c r="A89" s="80" t="s">
        <v>1082</v>
      </c>
      <c r="B89" s="95" t="s">
        <v>1083</v>
      </c>
      <c r="C89" s="96" t="s">
        <v>27</v>
      </c>
      <c r="D89" s="97"/>
      <c r="E89" s="98">
        <v>1527.75</v>
      </c>
      <c r="F89" s="85">
        <f t="shared" si="0"/>
        <v>8112.47</v>
      </c>
      <c r="G89" s="111"/>
      <c r="H89" s="112"/>
      <c r="I89" s="112"/>
      <c r="J89" s="112"/>
      <c r="K89" s="112"/>
      <c r="L89" s="112"/>
      <c r="M89" s="112"/>
      <c r="N89" s="112"/>
    </row>
    <row r="90" customHeight="1" spans="1:14">
      <c r="A90" s="73"/>
      <c r="B90" s="7" t="s">
        <v>1084</v>
      </c>
      <c r="C90" s="8" t="s">
        <v>219</v>
      </c>
      <c r="D90" s="9"/>
      <c r="E90" s="10">
        <v>1000</v>
      </c>
      <c r="F90" s="79">
        <f t="shared" si="0"/>
        <v>7112.47</v>
      </c>
      <c r="G90" s="77"/>
      <c r="H90" s="77"/>
      <c r="I90" s="62"/>
      <c r="J90" s="77"/>
      <c r="K90" s="77"/>
      <c r="L90" s="77"/>
      <c r="M90" s="77"/>
      <c r="N90" s="77"/>
    </row>
    <row r="91" customHeight="1" spans="1:14">
      <c r="A91" s="73" t="s">
        <v>1085</v>
      </c>
      <c r="B91" s="16" t="s">
        <v>1086</v>
      </c>
      <c r="C91" s="17" t="s">
        <v>27</v>
      </c>
      <c r="D91" s="18"/>
      <c r="E91" s="19">
        <f>300.85-95</f>
        <v>205.85</v>
      </c>
      <c r="F91" s="79">
        <f t="shared" si="0"/>
        <v>6906.62</v>
      </c>
      <c r="G91" s="77"/>
      <c r="H91" s="77"/>
      <c r="I91" s="62"/>
      <c r="J91" s="77"/>
      <c r="K91" s="77"/>
      <c r="L91" s="77"/>
      <c r="M91" s="77"/>
      <c r="N91" s="77"/>
    </row>
    <row r="92" customHeight="1" spans="1:14">
      <c r="A92" s="73"/>
      <c r="B92" s="16" t="s">
        <v>1087</v>
      </c>
      <c r="C92" s="17" t="s">
        <v>224</v>
      </c>
      <c r="D92" s="18"/>
      <c r="E92" s="19">
        <v>95</v>
      </c>
      <c r="F92" s="79">
        <f t="shared" si="0"/>
        <v>6811.62</v>
      </c>
      <c r="G92" s="79"/>
      <c r="H92" s="77"/>
      <c r="I92" s="59"/>
      <c r="J92" s="77"/>
      <c r="K92" s="77"/>
      <c r="L92" s="77"/>
      <c r="M92" s="77"/>
      <c r="N92" s="77"/>
    </row>
    <row r="93" customHeight="1" spans="1:6">
      <c r="A93" s="73" t="s">
        <v>1088</v>
      </c>
      <c r="B93" s="74" t="s">
        <v>1089</v>
      </c>
      <c r="C93" s="75" t="s">
        <v>214</v>
      </c>
      <c r="D93" s="76"/>
      <c r="E93" s="78">
        <v>1242</v>
      </c>
      <c r="F93" s="79">
        <f t="shared" si="0"/>
        <v>5569.62</v>
      </c>
    </row>
    <row r="94" customHeight="1" spans="1:6">
      <c r="A94" s="73"/>
      <c r="B94" s="74" t="s">
        <v>1090</v>
      </c>
      <c r="C94" s="75" t="s">
        <v>27</v>
      </c>
      <c r="D94" s="76"/>
      <c r="E94" s="78">
        <v>117</v>
      </c>
      <c r="F94" s="79">
        <f t="shared" si="0"/>
        <v>5452.62</v>
      </c>
    </row>
    <row r="95" customHeight="1" spans="1:6">
      <c r="A95" s="73"/>
      <c r="B95" s="16" t="s">
        <v>1091</v>
      </c>
      <c r="C95" s="17" t="s">
        <v>214</v>
      </c>
      <c r="D95" s="18"/>
      <c r="E95" s="19">
        <v>866</v>
      </c>
      <c r="F95" s="79">
        <f t="shared" si="0"/>
        <v>4586.62</v>
      </c>
    </row>
    <row r="96" customHeight="1" spans="1:6">
      <c r="A96" s="73" t="s">
        <v>1092</v>
      </c>
      <c r="B96" s="16" t="s">
        <v>1093</v>
      </c>
      <c r="C96" s="17" t="s">
        <v>224</v>
      </c>
      <c r="D96" s="18"/>
      <c r="E96" s="19">
        <v>204</v>
      </c>
      <c r="F96" s="79">
        <f t="shared" si="0"/>
        <v>4382.62</v>
      </c>
    </row>
    <row r="97" customHeight="1" spans="1:14">
      <c r="A97" s="73" t="s">
        <v>1094</v>
      </c>
      <c r="B97" s="74" t="s">
        <v>1028</v>
      </c>
      <c r="C97" s="75" t="s">
        <v>224</v>
      </c>
      <c r="D97" s="76"/>
      <c r="E97" s="78">
        <v>20</v>
      </c>
      <c r="F97" s="79">
        <f t="shared" si="0"/>
        <v>4362.62</v>
      </c>
      <c r="G97" s="77"/>
      <c r="H97" s="77"/>
      <c r="I97" s="77"/>
      <c r="J97" s="77"/>
      <c r="K97" s="77"/>
      <c r="L97" s="77"/>
      <c r="M97" s="77"/>
      <c r="N97" s="77"/>
    </row>
    <row r="98" customHeight="1" spans="1:14">
      <c r="A98" s="73"/>
      <c r="B98" s="74" t="s">
        <v>544</v>
      </c>
      <c r="C98" s="75" t="s">
        <v>201</v>
      </c>
      <c r="D98" s="76"/>
      <c r="E98" s="78">
        <v>200</v>
      </c>
      <c r="F98" s="79">
        <f t="shared" si="0"/>
        <v>4162.62</v>
      </c>
      <c r="G98" s="77"/>
      <c r="H98" s="77"/>
      <c r="I98" s="62"/>
      <c r="J98" s="77"/>
      <c r="K98" s="77"/>
      <c r="L98" s="77"/>
      <c r="M98" s="77"/>
      <c r="N98" s="77"/>
    </row>
    <row r="99" customHeight="1" spans="1:14">
      <c r="A99" s="73"/>
      <c r="B99" s="16" t="s">
        <v>1095</v>
      </c>
      <c r="C99" s="17" t="s">
        <v>86</v>
      </c>
      <c r="D99" s="18"/>
      <c r="E99" s="19">
        <v>393</v>
      </c>
      <c r="F99" s="79">
        <f t="shared" si="0"/>
        <v>3769.62</v>
      </c>
      <c r="G99" s="79"/>
      <c r="H99" s="77"/>
      <c r="I99" s="62"/>
      <c r="J99" s="77"/>
      <c r="K99" s="77"/>
      <c r="L99" s="77"/>
      <c r="M99" s="77"/>
      <c r="N99" s="77"/>
    </row>
    <row r="100" customHeight="1" spans="1:14">
      <c r="A100" s="73"/>
      <c r="B100" s="16" t="s">
        <v>23</v>
      </c>
      <c r="C100" s="17"/>
      <c r="D100" s="18">
        <v>2</v>
      </c>
      <c r="E100" s="19"/>
      <c r="F100" s="79">
        <f t="shared" si="0"/>
        <v>3771.62</v>
      </c>
      <c r="G100" s="79"/>
      <c r="H100" s="77"/>
      <c r="I100" s="62"/>
      <c r="J100" s="77"/>
      <c r="K100" s="77"/>
      <c r="L100" s="77"/>
      <c r="M100" s="77"/>
      <c r="N100" s="77"/>
    </row>
    <row r="101" customHeight="1" spans="1:14">
      <c r="A101" s="73" t="s">
        <v>1096</v>
      </c>
      <c r="B101" s="74" t="s">
        <v>1028</v>
      </c>
      <c r="C101" s="75" t="s">
        <v>224</v>
      </c>
      <c r="D101" s="76"/>
      <c r="E101" s="78">
        <v>20</v>
      </c>
      <c r="F101" s="79">
        <f t="shared" si="0"/>
        <v>3751.62</v>
      </c>
      <c r="G101" s="79"/>
      <c r="H101" s="77"/>
      <c r="I101" s="77"/>
      <c r="J101" s="77"/>
      <c r="K101" s="77"/>
      <c r="L101" s="77"/>
      <c r="M101" s="77"/>
      <c r="N101" s="77"/>
    </row>
    <row r="102" customHeight="1" spans="1:14">
      <c r="A102" s="73"/>
      <c r="B102" s="16" t="s">
        <v>1097</v>
      </c>
      <c r="C102" s="17" t="s">
        <v>27</v>
      </c>
      <c r="D102" s="18"/>
      <c r="E102" s="19">
        <v>194</v>
      </c>
      <c r="F102" s="79">
        <f t="shared" si="0"/>
        <v>3557.62</v>
      </c>
      <c r="G102" s="79"/>
      <c r="H102" s="77"/>
      <c r="I102" s="121"/>
      <c r="J102" s="77"/>
      <c r="K102" s="77"/>
      <c r="L102" s="77"/>
      <c r="M102" s="77"/>
      <c r="N102" s="77"/>
    </row>
    <row r="103" customHeight="1" spans="1:14">
      <c r="A103" s="73"/>
      <c r="B103" s="16" t="s">
        <v>1098</v>
      </c>
      <c r="C103" s="17" t="s">
        <v>214</v>
      </c>
      <c r="D103" s="18"/>
      <c r="E103" s="19">
        <f>893-72-49</f>
        <v>772</v>
      </c>
      <c r="F103" s="79">
        <f t="shared" si="0"/>
        <v>2785.62</v>
      </c>
      <c r="G103" s="77"/>
      <c r="H103" s="77"/>
      <c r="I103" s="77"/>
      <c r="J103" s="77"/>
      <c r="K103" s="77"/>
      <c r="L103" s="77"/>
      <c r="M103" s="77"/>
      <c r="N103" s="77"/>
    </row>
    <row r="104" customHeight="1" spans="1:14">
      <c r="A104" s="73"/>
      <c r="B104" s="16" t="s">
        <v>1099</v>
      </c>
      <c r="C104" s="17" t="s">
        <v>27</v>
      </c>
      <c r="D104" s="18"/>
      <c r="E104" s="19">
        <v>72</v>
      </c>
      <c r="F104" s="79">
        <f t="shared" si="0"/>
        <v>2713.62</v>
      </c>
      <c r="G104" s="21"/>
      <c r="H104" s="21"/>
      <c r="I104" s="30"/>
      <c r="J104" s="21"/>
      <c r="K104" s="21"/>
      <c r="L104" s="21"/>
      <c r="M104" s="21"/>
      <c r="N104" s="21"/>
    </row>
    <row r="105" customHeight="1" spans="1:14">
      <c r="A105" s="73"/>
      <c r="B105" s="16" t="s">
        <v>1100</v>
      </c>
      <c r="C105" s="17" t="s">
        <v>214</v>
      </c>
      <c r="D105" s="18"/>
      <c r="E105" s="19">
        <v>49</v>
      </c>
      <c r="F105" s="79">
        <f t="shared" si="0"/>
        <v>2664.62</v>
      </c>
      <c r="G105" s="21">
        <f>G106-F106</f>
        <v>0</v>
      </c>
      <c r="H105" s="21"/>
      <c r="I105" s="30"/>
      <c r="J105" s="21"/>
      <c r="K105" s="21"/>
      <c r="L105" s="21"/>
      <c r="M105" s="21"/>
      <c r="N105" s="21"/>
    </row>
    <row r="106" customHeight="1" spans="1:14">
      <c r="A106" s="73"/>
      <c r="B106" s="74" t="s">
        <v>1101</v>
      </c>
      <c r="C106" s="75"/>
      <c r="D106" s="76">
        <v>10.5</v>
      </c>
      <c r="E106" s="78"/>
      <c r="F106" s="79">
        <f t="shared" si="0"/>
        <v>2675.12</v>
      </c>
      <c r="G106" s="29">
        <f>H106+I106+J106+K106+L106+M106+N106</f>
        <v>2675.12</v>
      </c>
      <c r="H106" s="21">
        <v>510.5</v>
      </c>
      <c r="I106" s="35">
        <v>912.89</v>
      </c>
      <c r="J106" s="21">
        <v>0</v>
      </c>
      <c r="K106" s="21">
        <v>0</v>
      </c>
      <c r="L106" s="21">
        <v>801.73</v>
      </c>
      <c r="M106" s="21">
        <v>0</v>
      </c>
      <c r="N106" s="21">
        <v>450</v>
      </c>
    </row>
    <row r="107" customHeight="1" spans="1:14">
      <c r="A107" s="80" t="s">
        <v>1102</v>
      </c>
      <c r="B107" s="113" t="s">
        <v>1103</v>
      </c>
      <c r="C107" s="82"/>
      <c r="D107" s="83">
        <v>1000</v>
      </c>
      <c r="E107" s="84"/>
      <c r="F107" s="85">
        <f t="shared" si="0"/>
        <v>3675.12</v>
      </c>
      <c r="G107" s="85"/>
      <c r="H107" s="86"/>
      <c r="I107" s="120"/>
      <c r="J107" s="86"/>
      <c r="K107" s="86"/>
      <c r="L107" s="86"/>
      <c r="M107" s="86"/>
      <c r="N107" s="86"/>
    </row>
    <row r="108" customHeight="1" spans="1:14">
      <c r="A108" s="73"/>
      <c r="B108" s="74" t="s">
        <v>1104</v>
      </c>
      <c r="C108" s="75" t="s">
        <v>245</v>
      </c>
      <c r="D108" s="76"/>
      <c r="E108" s="78">
        <v>142</v>
      </c>
      <c r="F108" s="79">
        <f t="shared" si="0"/>
        <v>3533.12</v>
      </c>
      <c r="G108" s="79"/>
      <c r="H108" s="77"/>
      <c r="I108" s="62"/>
      <c r="J108" s="77"/>
      <c r="K108" s="77"/>
      <c r="L108" s="77"/>
      <c r="M108" s="77"/>
      <c r="N108" s="77"/>
    </row>
    <row r="109" customHeight="1" spans="1:14">
      <c r="A109" s="73"/>
      <c r="B109" s="74" t="s">
        <v>1079</v>
      </c>
      <c r="C109" s="75" t="s">
        <v>27</v>
      </c>
      <c r="D109" s="76"/>
      <c r="E109" s="78">
        <v>728</v>
      </c>
      <c r="F109" s="79">
        <f t="shared" si="0"/>
        <v>2805.12</v>
      </c>
      <c r="G109" s="21"/>
      <c r="H109" s="21"/>
      <c r="I109" s="30"/>
      <c r="J109" s="21"/>
      <c r="K109" s="21"/>
      <c r="L109" s="21"/>
      <c r="M109" s="21"/>
      <c r="N109" s="21"/>
    </row>
    <row r="110" customHeight="1" spans="1:14">
      <c r="A110" s="114"/>
      <c r="B110" s="16" t="s">
        <v>1105</v>
      </c>
      <c r="C110" s="17" t="s">
        <v>86</v>
      </c>
      <c r="D110" s="18"/>
      <c r="E110" s="19">
        <v>496</v>
      </c>
      <c r="F110" s="79">
        <f t="shared" si="0"/>
        <v>2309.12</v>
      </c>
      <c r="G110" s="29"/>
      <c r="H110" s="21"/>
      <c r="I110" s="35"/>
      <c r="J110" s="21"/>
      <c r="K110" s="21"/>
      <c r="L110" s="21"/>
      <c r="M110" s="21"/>
      <c r="N110" s="21"/>
    </row>
    <row r="111" customHeight="1" spans="1:14">
      <c r="A111" s="36"/>
      <c r="B111" s="16" t="s">
        <v>1106</v>
      </c>
      <c r="C111" s="17" t="s">
        <v>27</v>
      </c>
      <c r="D111" s="18"/>
      <c r="E111" s="19">
        <f>171</f>
        <v>171</v>
      </c>
      <c r="F111" s="79">
        <f t="shared" si="0"/>
        <v>2138.12</v>
      </c>
      <c r="G111" s="79"/>
      <c r="H111" s="77"/>
      <c r="J111" s="77"/>
      <c r="K111" s="77"/>
      <c r="L111" s="77"/>
      <c r="M111" s="77"/>
      <c r="N111" s="77"/>
    </row>
    <row r="112" customHeight="1" spans="1:14">
      <c r="A112" s="36"/>
      <c r="B112" s="16" t="s">
        <v>1107</v>
      </c>
      <c r="C112" s="17" t="s">
        <v>224</v>
      </c>
      <c r="D112" s="18"/>
      <c r="E112" s="19">
        <v>210</v>
      </c>
      <c r="F112" s="79">
        <f t="shared" si="0"/>
        <v>1928.12</v>
      </c>
      <c r="G112" s="21">
        <f>G113-F116</f>
        <v>2.72848410531878e-12</v>
      </c>
      <c r="H112" s="21"/>
      <c r="I112" s="30"/>
      <c r="J112" s="21"/>
      <c r="K112" s="21"/>
      <c r="L112" s="21"/>
      <c r="M112" s="21"/>
      <c r="N112" s="21"/>
    </row>
    <row r="113" customHeight="1" spans="1:14">
      <c r="A113" s="73"/>
      <c r="B113" s="16" t="s">
        <v>1108</v>
      </c>
      <c r="C113" s="17"/>
      <c r="D113" s="18">
        <v>35</v>
      </c>
      <c r="E113" s="19"/>
      <c r="F113" s="79">
        <f t="shared" si="0"/>
        <v>1963.12</v>
      </c>
      <c r="G113" s="29">
        <f>H113+I113+J113+K113+L113+M113+N113</f>
        <v>1963.12</v>
      </c>
      <c r="H113" s="21">
        <v>510.5</v>
      </c>
      <c r="I113" s="35">
        <v>70.89</v>
      </c>
      <c r="J113" s="21">
        <f>1000-728</f>
        <v>272</v>
      </c>
      <c r="K113" s="21">
        <v>0</v>
      </c>
      <c r="L113" s="21">
        <f>801.73-142</f>
        <v>659.73</v>
      </c>
      <c r="M113" s="21">
        <v>0</v>
      </c>
      <c r="N113" s="21">
        <v>450</v>
      </c>
    </row>
    <row r="114" customHeight="1" spans="1:14">
      <c r="A114" s="115"/>
      <c r="B114" s="116"/>
      <c r="C114" s="24"/>
      <c r="D114" s="25"/>
      <c r="E114" s="26"/>
      <c r="F114" s="85">
        <f t="shared" si="0"/>
        <v>1963.12</v>
      </c>
      <c r="G114" s="28"/>
      <c r="H114" s="28"/>
      <c r="I114" s="28"/>
      <c r="J114" s="28"/>
      <c r="K114" s="28"/>
      <c r="L114" s="28"/>
      <c r="M114" s="28"/>
      <c r="N114" s="28"/>
    </row>
    <row r="115" customHeight="1" spans="1:6">
      <c r="A115" s="117"/>
      <c r="B115" s="47"/>
      <c r="C115" s="75"/>
      <c r="D115" s="76"/>
      <c r="E115" s="78"/>
      <c r="F115" s="79">
        <f t="shared" si="0"/>
        <v>1963.12</v>
      </c>
    </row>
    <row r="116" customHeight="1" spans="1:6">
      <c r="A116" s="117"/>
      <c r="B116" s="108"/>
      <c r="C116" s="75"/>
      <c r="D116" s="76"/>
      <c r="E116" s="78"/>
      <c r="F116" s="79">
        <f t="shared" si="0"/>
        <v>1963.12</v>
      </c>
    </row>
    <row r="117" customHeight="1" spans="1:6">
      <c r="A117" s="117"/>
      <c r="B117" s="47"/>
      <c r="C117" s="75"/>
      <c r="D117" s="76"/>
      <c r="E117" s="78"/>
      <c r="F117" s="79">
        <f t="shared" si="0"/>
        <v>1963.12</v>
      </c>
    </row>
    <row r="118" customHeight="1" spans="1:6">
      <c r="A118" s="117"/>
      <c r="B118" s="47"/>
      <c r="C118" s="75"/>
      <c r="D118" s="76"/>
      <c r="E118" s="78"/>
      <c r="F118" s="79">
        <f t="shared" si="0"/>
        <v>1963.12</v>
      </c>
    </row>
    <row r="119" customHeight="1" spans="1:7">
      <c r="A119" s="117"/>
      <c r="B119" s="47"/>
      <c r="C119" s="75"/>
      <c r="D119" s="76"/>
      <c r="E119" s="78"/>
      <c r="F119" s="79">
        <f t="shared" si="0"/>
        <v>1963.12</v>
      </c>
      <c r="G119" s="118"/>
    </row>
    <row r="120" customHeight="1" spans="1:14">
      <c r="A120" s="117"/>
      <c r="B120" s="47"/>
      <c r="C120" s="75"/>
      <c r="D120" s="76"/>
      <c r="E120" s="78"/>
      <c r="F120" s="79">
        <f t="shared" si="0"/>
        <v>1963.12</v>
      </c>
      <c r="G120" s="77"/>
      <c r="H120" s="77"/>
      <c r="I120" s="62"/>
      <c r="J120" s="77"/>
      <c r="K120" s="77"/>
      <c r="L120" s="77"/>
      <c r="M120" s="77"/>
      <c r="N120" s="77"/>
    </row>
    <row r="121" customHeight="1" spans="1:14">
      <c r="A121" s="117"/>
      <c r="B121" s="47"/>
      <c r="C121" s="75"/>
      <c r="D121" s="76"/>
      <c r="E121" s="78"/>
      <c r="F121" s="79">
        <f t="shared" si="0"/>
        <v>1963.12</v>
      </c>
      <c r="G121" s="79"/>
      <c r="H121" s="77"/>
      <c r="I121" s="62"/>
      <c r="J121" s="77"/>
      <c r="K121" s="77"/>
      <c r="L121" s="77"/>
      <c r="M121" s="77"/>
      <c r="N121" s="77"/>
    </row>
    <row r="122" customHeight="1" spans="1:14">
      <c r="A122" s="117"/>
      <c r="B122" s="47"/>
      <c r="C122" s="75"/>
      <c r="D122" s="76"/>
      <c r="E122" s="78"/>
      <c r="F122" s="79">
        <f t="shared" si="0"/>
        <v>1963.12</v>
      </c>
      <c r="G122" s="79"/>
      <c r="H122" s="77"/>
      <c r="I122" s="62"/>
      <c r="J122" s="77"/>
      <c r="K122" s="77"/>
      <c r="L122" s="77"/>
      <c r="M122" s="77"/>
      <c r="N122" s="77"/>
    </row>
    <row r="123" customHeight="1" spans="1:6">
      <c r="A123" s="117"/>
      <c r="B123" s="74"/>
      <c r="C123" s="75"/>
      <c r="D123" s="76"/>
      <c r="E123" s="78"/>
      <c r="F123" s="79">
        <f t="shared" si="0"/>
        <v>1963.12</v>
      </c>
    </row>
    <row r="124" customHeight="1" spans="1:14">
      <c r="A124" s="117"/>
      <c r="B124" s="74"/>
      <c r="C124" s="75"/>
      <c r="D124" s="76"/>
      <c r="E124" s="78"/>
      <c r="F124" s="79">
        <f t="shared" si="0"/>
        <v>1963.12</v>
      </c>
      <c r="G124" s="77"/>
      <c r="H124" s="77"/>
      <c r="I124" s="77"/>
      <c r="J124" s="77"/>
      <c r="K124" s="77"/>
      <c r="L124" s="77"/>
      <c r="M124" s="77"/>
      <c r="N124" s="77"/>
    </row>
    <row r="125" customHeight="1" spans="1:14">
      <c r="A125" s="117"/>
      <c r="B125" s="74"/>
      <c r="C125" s="75"/>
      <c r="D125" s="76"/>
      <c r="E125" s="78"/>
      <c r="F125" s="79">
        <f t="shared" si="0"/>
        <v>1963.12</v>
      </c>
      <c r="G125" s="79"/>
      <c r="H125" s="77"/>
      <c r="I125" s="62"/>
      <c r="J125" s="77"/>
      <c r="K125" s="77"/>
      <c r="L125" s="77"/>
      <c r="M125" s="77"/>
      <c r="N125" s="77"/>
    </row>
    <row r="126" customHeight="1" spans="1:12">
      <c r="A126" s="117"/>
      <c r="B126" s="74"/>
      <c r="C126" s="75"/>
      <c r="D126" s="76"/>
      <c r="E126" s="78"/>
      <c r="F126" s="79">
        <f t="shared" si="0"/>
        <v>1963.12</v>
      </c>
      <c r="L126" s="62"/>
    </row>
    <row r="127" customHeight="1" spans="1:14">
      <c r="A127" s="117"/>
      <c r="B127" s="74"/>
      <c r="C127" s="75"/>
      <c r="D127" s="76"/>
      <c r="E127" s="78"/>
      <c r="F127" s="79">
        <f t="shared" si="0"/>
        <v>1963.12</v>
      </c>
      <c r="G127" s="77"/>
      <c r="H127" s="77"/>
      <c r="I127" s="77"/>
      <c r="J127" s="77"/>
      <c r="K127" s="77"/>
      <c r="L127" s="77"/>
      <c r="M127" s="77"/>
      <c r="N127" s="77"/>
    </row>
    <row r="128" customHeight="1" spans="1:14">
      <c r="A128" s="117"/>
      <c r="B128" s="74"/>
      <c r="C128" s="75"/>
      <c r="D128" s="76"/>
      <c r="E128" s="78"/>
      <c r="F128" s="79">
        <f t="shared" si="0"/>
        <v>1963.12</v>
      </c>
      <c r="G128" s="79"/>
      <c r="H128" s="77"/>
      <c r="I128" s="77"/>
      <c r="J128" s="77"/>
      <c r="K128" s="77"/>
      <c r="L128" s="77"/>
      <c r="M128" s="77"/>
      <c r="N128" s="77"/>
    </row>
    <row r="129" customHeight="1" spans="1:6">
      <c r="A129" s="117"/>
      <c r="B129" s="74"/>
      <c r="C129" s="75"/>
      <c r="D129" s="76"/>
      <c r="E129" s="78"/>
      <c r="F129" s="79">
        <f t="shared" si="0"/>
        <v>1963.12</v>
      </c>
    </row>
    <row r="130" customHeight="1" spans="1:14">
      <c r="A130" s="117"/>
      <c r="B130" s="74"/>
      <c r="C130" s="75"/>
      <c r="D130" s="76"/>
      <c r="E130" s="78"/>
      <c r="F130" s="79">
        <f t="shared" si="0"/>
        <v>1963.12</v>
      </c>
      <c r="G130" s="77"/>
      <c r="H130" s="77"/>
      <c r="I130" s="62"/>
      <c r="J130" s="77"/>
      <c r="K130" s="77"/>
      <c r="L130" s="77"/>
      <c r="M130" s="77"/>
      <c r="N130" s="77"/>
    </row>
    <row r="131" customHeight="1" spans="1:14">
      <c r="A131" s="117"/>
      <c r="B131" s="74"/>
      <c r="C131" s="75"/>
      <c r="D131" s="76"/>
      <c r="E131" s="78"/>
      <c r="F131" s="79">
        <f t="shared" si="0"/>
        <v>1963.12</v>
      </c>
      <c r="G131" s="79"/>
      <c r="H131" s="77"/>
      <c r="I131" s="62"/>
      <c r="J131" s="77"/>
      <c r="K131" s="77"/>
      <c r="L131" s="77"/>
      <c r="M131" s="77"/>
      <c r="N131" s="77"/>
    </row>
    <row r="132" customHeight="1" spans="1:14">
      <c r="A132" s="117"/>
      <c r="B132" s="74"/>
      <c r="C132" s="75"/>
      <c r="D132" s="76"/>
      <c r="E132" s="78"/>
      <c r="F132" s="79">
        <f t="shared" si="0"/>
        <v>1963.12</v>
      </c>
      <c r="G132" s="110"/>
      <c r="H132" s="110"/>
      <c r="I132" s="110"/>
      <c r="J132" s="110"/>
      <c r="K132" s="110"/>
      <c r="L132" s="110"/>
      <c r="M132" s="110"/>
      <c r="N132" s="110"/>
    </row>
    <row r="133" customHeight="1" spans="1:14">
      <c r="A133" s="117"/>
      <c r="B133" s="74"/>
      <c r="C133" s="75"/>
      <c r="D133" s="76"/>
      <c r="E133" s="78"/>
      <c r="F133" s="79">
        <f t="shared" si="0"/>
        <v>1963.12</v>
      </c>
      <c r="G133" s="77"/>
      <c r="H133" s="77"/>
      <c r="I133" s="77"/>
      <c r="J133" s="77"/>
      <c r="K133" s="77"/>
      <c r="L133" s="77"/>
      <c r="M133" s="77"/>
      <c r="N133" s="77"/>
    </row>
    <row r="134" customHeight="1" spans="1:6">
      <c r="A134" s="117"/>
      <c r="B134" s="74"/>
      <c r="C134" s="75"/>
      <c r="D134" s="76"/>
      <c r="E134" s="78"/>
      <c r="F134" s="79">
        <f t="shared" si="0"/>
        <v>1963.12</v>
      </c>
    </row>
    <row r="135" customHeight="1" spans="1:14">
      <c r="A135" s="117"/>
      <c r="B135" s="74"/>
      <c r="C135" s="75"/>
      <c r="D135" s="76"/>
      <c r="E135" s="78"/>
      <c r="F135" s="79">
        <f t="shared" si="0"/>
        <v>1963.12</v>
      </c>
      <c r="G135" s="77"/>
      <c r="H135" s="77"/>
      <c r="I135" s="77"/>
      <c r="J135" s="77"/>
      <c r="K135" s="77"/>
      <c r="L135" s="77"/>
      <c r="M135" s="77"/>
      <c r="N135" s="77"/>
    </row>
    <row r="136" customHeight="1" spans="1:14">
      <c r="A136" s="117"/>
      <c r="B136" s="74"/>
      <c r="C136" s="75"/>
      <c r="D136" s="76"/>
      <c r="E136" s="78"/>
      <c r="F136" s="79">
        <f t="shared" si="0"/>
        <v>1963.12</v>
      </c>
      <c r="G136" s="79"/>
      <c r="H136" s="77"/>
      <c r="I136" s="62"/>
      <c r="J136" s="77"/>
      <c r="K136" s="77"/>
      <c r="L136" s="77"/>
      <c r="M136" s="77"/>
      <c r="N136" s="77"/>
    </row>
    <row r="137" customHeight="1" spans="1:6">
      <c r="A137" s="117"/>
      <c r="B137" s="74"/>
      <c r="C137" s="75"/>
      <c r="D137" s="76"/>
      <c r="E137" s="78"/>
      <c r="F137" s="79">
        <f t="shared" si="0"/>
        <v>1963.12</v>
      </c>
    </row>
    <row r="138" customHeight="1" spans="1:6">
      <c r="A138" s="117"/>
      <c r="B138" s="74"/>
      <c r="C138" s="75"/>
      <c r="D138" s="76"/>
      <c r="E138" s="78"/>
      <c r="F138" s="79">
        <f t="shared" si="0"/>
        <v>1963.12</v>
      </c>
    </row>
    <row r="139" customHeight="1" spans="1:13">
      <c r="A139" s="117"/>
      <c r="B139" s="74"/>
      <c r="C139" s="75"/>
      <c r="D139" s="76"/>
      <c r="E139" s="78"/>
      <c r="F139" s="79">
        <f t="shared" si="0"/>
        <v>1963.12</v>
      </c>
      <c r="G139" s="122"/>
      <c r="H139" s="123"/>
      <c r="I139" s="122"/>
      <c r="J139" s="122"/>
      <c r="K139" s="122"/>
      <c r="L139" s="122"/>
      <c r="M139" s="122"/>
    </row>
    <row r="140" customHeight="1" spans="1:14">
      <c r="A140" s="117"/>
      <c r="B140" s="74"/>
      <c r="C140" s="75"/>
      <c r="D140" s="76"/>
      <c r="E140" s="78"/>
      <c r="F140" s="79">
        <f t="shared" si="0"/>
        <v>1963.12</v>
      </c>
      <c r="G140" s="110"/>
      <c r="H140" s="110"/>
      <c r="I140" s="110"/>
      <c r="J140" s="59"/>
      <c r="K140" s="110"/>
      <c r="L140" s="110"/>
      <c r="M140" s="110"/>
      <c r="N140" s="110"/>
    </row>
    <row r="141" customHeight="1" spans="1:14">
      <c r="A141" s="117"/>
      <c r="B141" s="74"/>
      <c r="C141" s="75"/>
      <c r="D141" s="76"/>
      <c r="E141" s="78"/>
      <c r="F141" s="79">
        <f t="shared" si="0"/>
        <v>1963.12</v>
      </c>
      <c r="G141" s="124"/>
      <c r="H141" s="125"/>
      <c r="I141" s="125"/>
      <c r="J141" s="125"/>
      <c r="K141" s="125"/>
      <c r="L141" s="125"/>
      <c r="M141" s="125"/>
      <c r="N141" s="124"/>
    </row>
    <row r="142" customHeight="1" spans="1:14">
      <c r="A142" s="117"/>
      <c r="B142" s="74"/>
      <c r="C142" s="75"/>
      <c r="D142" s="76"/>
      <c r="E142" s="78"/>
      <c r="F142" s="79">
        <f t="shared" si="0"/>
        <v>1963.12</v>
      </c>
      <c r="G142" s="124"/>
      <c r="H142" s="125"/>
      <c r="I142" s="125"/>
      <c r="J142" s="125"/>
      <c r="K142" s="125"/>
      <c r="L142" s="125"/>
      <c r="M142" s="125"/>
      <c r="N142" s="124"/>
    </row>
    <row r="143" customHeight="1" spans="1:14">
      <c r="A143" s="117"/>
      <c r="B143" s="74"/>
      <c r="C143" s="75"/>
      <c r="D143" s="76"/>
      <c r="E143" s="78"/>
      <c r="F143" s="79">
        <f t="shared" si="0"/>
        <v>1963.12</v>
      </c>
      <c r="G143" s="110"/>
      <c r="H143" s="110"/>
      <c r="I143" s="110"/>
      <c r="J143" s="110"/>
      <c r="K143" s="110"/>
      <c r="L143" s="110"/>
      <c r="M143" s="110"/>
      <c r="N143" s="110"/>
    </row>
    <row r="144" customHeight="1" spans="1:12">
      <c r="A144" s="117"/>
      <c r="B144" s="74"/>
      <c r="C144" s="75"/>
      <c r="D144" s="76"/>
      <c r="E144" s="78"/>
      <c r="F144" s="79">
        <f t="shared" si="0"/>
        <v>1963.12</v>
      </c>
      <c r="G144" s="118"/>
      <c r="I144" s="105"/>
      <c r="L144" s="77"/>
    </row>
    <row r="145" customHeight="1" spans="1:14">
      <c r="A145" s="117"/>
      <c r="B145" s="74"/>
      <c r="C145" s="75"/>
      <c r="D145" s="76"/>
      <c r="E145" s="78"/>
      <c r="F145" s="79">
        <f t="shared" si="0"/>
        <v>1963.12</v>
      </c>
      <c r="G145" s="110"/>
      <c r="H145" s="105"/>
      <c r="I145" s="105"/>
      <c r="J145" s="105"/>
      <c r="K145" s="105"/>
      <c r="L145" s="105"/>
      <c r="M145" s="105"/>
      <c r="N145" s="105"/>
    </row>
    <row r="146" customHeight="1" spans="1:14">
      <c r="A146" s="117"/>
      <c r="B146" s="74"/>
      <c r="C146" s="75"/>
      <c r="D146" s="76"/>
      <c r="E146" s="78"/>
      <c r="F146" s="79">
        <f t="shared" si="0"/>
        <v>1963.12</v>
      </c>
      <c r="G146" s="77"/>
      <c r="H146" s="77"/>
      <c r="I146" s="77"/>
      <c r="J146" s="77"/>
      <c r="K146" s="77"/>
      <c r="L146" s="77"/>
      <c r="M146" s="77"/>
      <c r="N146" s="77"/>
    </row>
    <row r="147" customHeight="1" spans="1:14">
      <c r="A147" s="117"/>
      <c r="B147" s="74"/>
      <c r="C147" s="75"/>
      <c r="D147" s="76"/>
      <c r="E147" s="78"/>
      <c r="F147" s="79">
        <f t="shared" si="0"/>
        <v>1963.12</v>
      </c>
      <c r="G147" s="79"/>
      <c r="H147" s="77"/>
      <c r="I147" s="77"/>
      <c r="J147" s="77"/>
      <c r="K147" s="77"/>
      <c r="L147" s="77"/>
      <c r="M147" s="77"/>
      <c r="N147" s="77"/>
    </row>
    <row r="148" customHeight="1" spans="1:14">
      <c r="A148" s="117"/>
      <c r="B148" s="74"/>
      <c r="C148" s="75"/>
      <c r="D148" s="76"/>
      <c r="E148" s="78"/>
      <c r="F148" s="79">
        <f t="shared" si="0"/>
        <v>1963.12</v>
      </c>
      <c r="G148" s="110"/>
      <c r="H148" s="110"/>
      <c r="I148" s="110"/>
      <c r="J148" s="110"/>
      <c r="K148" s="110"/>
      <c r="L148" s="110"/>
      <c r="M148" s="110"/>
      <c r="N148" s="110"/>
    </row>
    <row r="149" customHeight="1" spans="1:14">
      <c r="A149" s="117"/>
      <c r="B149" s="74"/>
      <c r="C149" s="75"/>
      <c r="D149" s="76"/>
      <c r="E149" s="78"/>
      <c r="F149" s="79">
        <f t="shared" si="0"/>
        <v>1963.12</v>
      </c>
      <c r="G149" s="77"/>
      <c r="H149" s="77"/>
      <c r="I149" s="77"/>
      <c r="J149" s="77"/>
      <c r="K149" s="77"/>
      <c r="L149" s="77"/>
      <c r="M149" s="77"/>
      <c r="N149" s="77"/>
    </row>
    <row r="150" customHeight="1" spans="1:14">
      <c r="A150" s="117"/>
      <c r="B150" s="74"/>
      <c r="C150" s="75"/>
      <c r="D150" s="76"/>
      <c r="E150" s="78"/>
      <c r="F150" s="79">
        <f t="shared" si="0"/>
        <v>1963.12</v>
      </c>
      <c r="G150" s="79"/>
      <c r="H150" s="77"/>
      <c r="I150" s="105"/>
      <c r="J150" s="77"/>
      <c r="K150" s="77"/>
      <c r="L150" s="77"/>
      <c r="M150" s="77"/>
      <c r="N150" s="77"/>
    </row>
    <row r="151" customHeight="1" spans="1:14">
      <c r="A151" s="117"/>
      <c r="B151" s="74"/>
      <c r="C151" s="75"/>
      <c r="D151" s="76"/>
      <c r="E151" s="78"/>
      <c r="F151" s="79">
        <f t="shared" si="0"/>
        <v>1963.12</v>
      </c>
      <c r="G151" s="110"/>
      <c r="H151" s="110"/>
      <c r="I151" s="110"/>
      <c r="J151" s="110"/>
      <c r="K151" s="110"/>
      <c r="L151" s="110"/>
      <c r="M151" s="110"/>
      <c r="N151" s="110"/>
    </row>
    <row r="152" customHeight="1" spans="1:14">
      <c r="A152" s="117"/>
      <c r="B152" s="74"/>
      <c r="C152" s="75"/>
      <c r="D152" s="76"/>
      <c r="E152" s="78"/>
      <c r="F152" s="79">
        <f t="shared" si="0"/>
        <v>1963.12</v>
      </c>
      <c r="G152" s="124"/>
      <c r="H152" s="125"/>
      <c r="I152" s="125"/>
      <c r="J152" s="125"/>
      <c r="K152" s="125"/>
      <c r="L152" s="125"/>
      <c r="M152" s="125"/>
      <c r="N152" s="124"/>
    </row>
    <row r="153" customHeight="1" spans="1:14">
      <c r="A153" s="117"/>
      <c r="B153" s="74"/>
      <c r="C153" s="75"/>
      <c r="D153" s="76"/>
      <c r="E153" s="78"/>
      <c r="F153" s="79">
        <f t="shared" si="0"/>
        <v>1963.12</v>
      </c>
      <c r="G153" s="77"/>
      <c r="H153" s="77"/>
      <c r="I153" s="77"/>
      <c r="J153" s="77"/>
      <c r="K153" s="77"/>
      <c r="L153" s="110"/>
      <c r="M153" s="77"/>
      <c r="N153" s="77"/>
    </row>
    <row r="154" customHeight="1" spans="1:14">
      <c r="A154" s="117"/>
      <c r="B154" s="74"/>
      <c r="C154" s="75"/>
      <c r="D154" s="76"/>
      <c r="E154" s="78"/>
      <c r="F154" s="79">
        <f t="shared" si="0"/>
        <v>1963.12</v>
      </c>
      <c r="G154" s="110"/>
      <c r="H154" s="110"/>
      <c r="I154" s="110"/>
      <c r="J154" s="110"/>
      <c r="K154" s="110"/>
      <c r="L154" s="110"/>
      <c r="M154" s="110"/>
      <c r="N154" s="110"/>
    </row>
    <row r="155" customHeight="1" spans="1:14">
      <c r="A155" s="117"/>
      <c r="B155" s="74"/>
      <c r="C155" s="75"/>
      <c r="D155" s="76"/>
      <c r="E155" s="78"/>
      <c r="F155" s="79">
        <f t="shared" si="0"/>
        <v>1963.12</v>
      </c>
      <c r="G155" s="110"/>
      <c r="H155" s="110"/>
      <c r="I155" s="110"/>
      <c r="J155" s="110"/>
      <c r="K155" s="110"/>
      <c r="L155" s="110"/>
      <c r="M155" s="110"/>
      <c r="N155" s="110"/>
    </row>
    <row r="156" customHeight="1" spans="1:14">
      <c r="A156" s="117"/>
      <c r="B156" s="74"/>
      <c r="C156" s="75"/>
      <c r="D156" s="76"/>
      <c r="E156" s="78"/>
      <c r="F156" s="79">
        <f t="shared" si="0"/>
        <v>1963.12</v>
      </c>
      <c r="N156" s="105"/>
    </row>
    <row r="157" customHeight="1" spans="1:6">
      <c r="A157" s="117"/>
      <c r="B157" s="74"/>
      <c r="C157" s="75"/>
      <c r="D157" s="76"/>
      <c r="E157" s="78"/>
      <c r="F157" s="79">
        <f t="shared" si="0"/>
        <v>1963.12</v>
      </c>
    </row>
    <row r="158" customHeight="1" spans="1:6">
      <c r="A158" s="117"/>
      <c r="B158" s="74"/>
      <c r="C158" s="75"/>
      <c r="D158" s="76"/>
      <c r="E158" s="78"/>
      <c r="F158" s="79">
        <f t="shared" si="0"/>
        <v>1963.12</v>
      </c>
    </row>
    <row r="159" customHeight="1" spans="1:14">
      <c r="A159" s="117"/>
      <c r="B159" s="74"/>
      <c r="C159" s="75"/>
      <c r="D159" s="76"/>
      <c r="E159" s="78"/>
      <c r="F159" s="79">
        <f t="shared" si="0"/>
        <v>1963.12</v>
      </c>
      <c r="G159" s="110"/>
      <c r="H159" s="110"/>
      <c r="I159" s="110"/>
      <c r="J159" s="110"/>
      <c r="K159" s="110"/>
      <c r="L159" s="110"/>
      <c r="M159" s="110"/>
      <c r="N159" s="110"/>
    </row>
    <row r="160" customHeight="1" spans="1:14">
      <c r="A160" s="117"/>
      <c r="B160" s="74"/>
      <c r="C160" s="75"/>
      <c r="D160" s="76"/>
      <c r="E160" s="78"/>
      <c r="F160" s="79">
        <f t="shared" si="0"/>
        <v>1963.12</v>
      </c>
      <c r="G160" s="110"/>
      <c r="H160" s="110"/>
      <c r="I160" s="110"/>
      <c r="J160" s="110"/>
      <c r="K160" s="110"/>
      <c r="L160" s="110"/>
      <c r="M160" s="110"/>
      <c r="N160" s="110"/>
    </row>
    <row r="161" customHeight="1" spans="1:12">
      <c r="A161" s="117"/>
      <c r="B161" s="74"/>
      <c r="C161" s="75"/>
      <c r="D161" s="76"/>
      <c r="E161" s="78"/>
      <c r="F161" s="79">
        <f t="shared" si="0"/>
        <v>1963.12</v>
      </c>
      <c r="G161" s="118"/>
      <c r="I161" s="105"/>
      <c r="L161" s="77"/>
    </row>
    <row r="162" customHeight="1" spans="1:6">
      <c r="A162" s="117"/>
      <c r="B162" s="74"/>
      <c r="C162" s="75"/>
      <c r="D162" s="76"/>
      <c r="E162" s="78"/>
      <c r="F162" s="79">
        <f t="shared" si="0"/>
        <v>1963.12</v>
      </c>
    </row>
    <row r="163" customHeight="1" spans="1:14">
      <c r="A163" s="117"/>
      <c r="B163" s="74"/>
      <c r="C163" s="75"/>
      <c r="D163" s="76"/>
      <c r="E163" s="78"/>
      <c r="F163" s="79">
        <f t="shared" si="0"/>
        <v>1963.12</v>
      </c>
      <c r="G163" s="77"/>
      <c r="H163" s="77"/>
      <c r="I163" s="77"/>
      <c r="J163" s="77"/>
      <c r="K163" s="77"/>
      <c r="L163" s="110"/>
      <c r="M163" s="77"/>
      <c r="N163" s="77"/>
    </row>
    <row r="164" customHeight="1" spans="1:14">
      <c r="A164" s="117"/>
      <c r="B164" s="74"/>
      <c r="C164" s="75"/>
      <c r="D164" s="76"/>
      <c r="E164" s="78"/>
      <c r="F164" s="79">
        <f t="shared" si="0"/>
        <v>1963.12</v>
      </c>
      <c r="G164" s="110"/>
      <c r="H164" s="110"/>
      <c r="I164" s="110"/>
      <c r="J164" s="110"/>
      <c r="K164" s="110"/>
      <c r="L164" s="110"/>
      <c r="M164" s="110"/>
      <c r="N164" s="110"/>
    </row>
    <row r="165" customHeight="1" spans="1:14">
      <c r="A165" s="117"/>
      <c r="B165" s="74"/>
      <c r="C165" s="75"/>
      <c r="D165" s="76"/>
      <c r="E165" s="78"/>
      <c r="F165" s="79">
        <f t="shared" si="0"/>
        <v>1963.12</v>
      </c>
      <c r="G165" s="110"/>
      <c r="H165" s="110"/>
      <c r="I165" s="110"/>
      <c r="J165" s="110"/>
      <c r="K165" s="110"/>
      <c r="L165" s="110"/>
      <c r="M165" s="110"/>
      <c r="N165" s="110"/>
    </row>
    <row r="166" customHeight="1" spans="1:14">
      <c r="A166" s="117"/>
      <c r="B166" s="74"/>
      <c r="C166" s="75"/>
      <c r="D166" s="76"/>
      <c r="E166" s="78"/>
      <c r="F166" s="79">
        <f t="shared" si="0"/>
        <v>1963.12</v>
      </c>
      <c r="G166" s="110"/>
      <c r="H166" s="110"/>
      <c r="I166" s="110"/>
      <c r="J166" s="110"/>
      <c r="K166" s="110"/>
      <c r="L166" s="110"/>
      <c r="M166" s="110"/>
      <c r="N166" s="110"/>
    </row>
    <row r="167" customHeight="1" spans="1:12">
      <c r="A167" s="117"/>
      <c r="B167" s="74"/>
      <c r="C167" s="75"/>
      <c r="D167" s="76"/>
      <c r="E167" s="78"/>
      <c r="F167" s="79">
        <f t="shared" si="0"/>
        <v>1963.12</v>
      </c>
      <c r="G167" s="118"/>
      <c r="I167" s="105"/>
      <c r="L167" s="77"/>
    </row>
    <row r="168" customHeight="1" spans="1:14">
      <c r="A168" s="117"/>
      <c r="B168" s="74"/>
      <c r="C168" s="75"/>
      <c r="D168" s="76"/>
      <c r="E168" s="78"/>
      <c r="F168" s="79">
        <f t="shared" si="0"/>
        <v>1963.12</v>
      </c>
      <c r="G168" s="110"/>
      <c r="H168" s="105"/>
      <c r="I168" s="105"/>
      <c r="J168" s="105"/>
      <c r="K168" s="105"/>
      <c r="L168" s="105"/>
      <c r="M168" s="105"/>
      <c r="N168" s="105"/>
    </row>
    <row r="169" customHeight="1" spans="1:14">
      <c r="A169" s="117"/>
      <c r="B169" s="74"/>
      <c r="C169" s="75"/>
      <c r="D169" s="76"/>
      <c r="E169" s="78"/>
      <c r="F169" s="79">
        <f t="shared" si="0"/>
        <v>1963.12</v>
      </c>
      <c r="G169" s="77"/>
      <c r="H169" s="77"/>
      <c r="I169" s="77"/>
      <c r="J169" s="77"/>
      <c r="K169" s="77"/>
      <c r="L169" s="110"/>
      <c r="M169" s="77"/>
      <c r="N169" s="77"/>
    </row>
    <row r="170" customHeight="1" spans="1:14">
      <c r="A170" s="117"/>
      <c r="B170" s="74"/>
      <c r="C170" s="75"/>
      <c r="D170" s="76"/>
      <c r="E170" s="78"/>
      <c r="F170" s="79">
        <f t="shared" si="0"/>
        <v>1963.12</v>
      </c>
      <c r="G170" s="124"/>
      <c r="H170" s="125"/>
      <c r="I170" s="125"/>
      <c r="J170" s="125"/>
      <c r="K170" s="125"/>
      <c r="L170" s="125"/>
      <c r="M170" s="125"/>
      <c r="N170" s="125"/>
    </row>
    <row r="171" customHeight="1" spans="1:14">
      <c r="A171" s="117"/>
      <c r="B171" s="74"/>
      <c r="C171" s="75"/>
      <c r="D171" s="76"/>
      <c r="E171" s="78"/>
      <c r="F171" s="79">
        <f t="shared" si="0"/>
        <v>1963.12</v>
      </c>
      <c r="G171" s="110"/>
      <c r="H171" s="110"/>
      <c r="I171" s="110"/>
      <c r="J171" s="110"/>
      <c r="K171" s="110"/>
      <c r="L171" s="110"/>
      <c r="M171" s="110"/>
      <c r="N171" s="110"/>
    </row>
    <row r="172" customHeight="1" spans="1:14">
      <c r="A172" s="117"/>
      <c r="B172" s="74"/>
      <c r="C172" s="75"/>
      <c r="D172" s="76"/>
      <c r="E172" s="78"/>
      <c r="F172" s="79">
        <f t="shared" si="0"/>
        <v>1963.12</v>
      </c>
      <c r="G172" s="110"/>
      <c r="H172" s="110"/>
      <c r="I172" s="110"/>
      <c r="J172" s="110"/>
      <c r="K172" s="110"/>
      <c r="L172" s="110"/>
      <c r="M172" s="110"/>
      <c r="N172" s="110"/>
    </row>
    <row r="173" customHeight="1" spans="1:14">
      <c r="A173" s="117"/>
      <c r="B173" s="74"/>
      <c r="C173" s="75"/>
      <c r="D173" s="76"/>
      <c r="E173" s="78"/>
      <c r="F173" s="79">
        <f t="shared" si="0"/>
        <v>1963.12</v>
      </c>
      <c r="G173" s="110"/>
      <c r="H173" s="110"/>
      <c r="I173" s="110"/>
      <c r="J173" s="110"/>
      <c r="K173" s="110"/>
      <c r="L173" s="110"/>
      <c r="M173" s="110"/>
      <c r="N173" s="110"/>
    </row>
    <row r="174" customHeight="1" spans="1:14">
      <c r="A174" s="117"/>
      <c r="B174" s="74"/>
      <c r="C174" s="75"/>
      <c r="D174" s="76"/>
      <c r="E174" s="78"/>
      <c r="F174" s="79">
        <f t="shared" si="0"/>
        <v>1963.12</v>
      </c>
      <c r="G174" s="110"/>
      <c r="H174" s="110"/>
      <c r="I174" s="110"/>
      <c r="J174" s="110"/>
      <c r="K174" s="110"/>
      <c r="L174" s="110"/>
      <c r="M174" s="110"/>
      <c r="N174" s="110"/>
    </row>
    <row r="175" customHeight="1" spans="1:14">
      <c r="A175" s="117"/>
      <c r="B175" s="74"/>
      <c r="C175" s="75"/>
      <c r="D175" s="76"/>
      <c r="E175" s="78"/>
      <c r="F175" s="79">
        <f t="shared" si="0"/>
        <v>1963.12</v>
      </c>
      <c r="G175" s="110"/>
      <c r="H175" s="110"/>
      <c r="I175" s="110"/>
      <c r="J175" s="110"/>
      <c r="K175" s="110"/>
      <c r="L175" s="110"/>
      <c r="M175" s="110"/>
      <c r="N175" s="110"/>
    </row>
    <row r="176" customHeight="1" spans="1:14">
      <c r="A176" s="117"/>
      <c r="B176" s="74"/>
      <c r="C176" s="75"/>
      <c r="D176" s="76"/>
      <c r="E176" s="78"/>
      <c r="F176" s="79">
        <f t="shared" si="0"/>
        <v>1963.12</v>
      </c>
      <c r="G176" s="110"/>
      <c r="H176" s="110"/>
      <c r="I176" s="110"/>
      <c r="J176" s="110"/>
      <c r="K176" s="110"/>
      <c r="L176" s="110"/>
      <c r="M176" s="110"/>
      <c r="N176" s="110"/>
    </row>
    <row r="177" customHeight="1" spans="1:14">
      <c r="A177" s="117"/>
      <c r="B177" s="74"/>
      <c r="C177" s="75"/>
      <c r="D177" s="76"/>
      <c r="E177" s="78"/>
      <c r="F177" s="79">
        <f t="shared" si="0"/>
        <v>1963.12</v>
      </c>
      <c r="G177" s="110"/>
      <c r="H177" s="110"/>
      <c r="I177" s="110"/>
      <c r="J177" s="110"/>
      <c r="K177" s="110"/>
      <c r="L177" s="110"/>
      <c r="M177" s="110"/>
      <c r="N177" s="110"/>
    </row>
    <row r="178" customHeight="1" spans="1:14">
      <c r="A178" s="14"/>
      <c r="B178" s="7"/>
      <c r="C178" s="8"/>
      <c r="D178" s="9"/>
      <c r="E178" s="10"/>
      <c r="F178" s="79">
        <f t="shared" si="0"/>
        <v>1963.12</v>
      </c>
      <c r="G178" s="20"/>
      <c r="H178" s="20"/>
      <c r="I178" s="20"/>
      <c r="J178" s="20"/>
      <c r="K178" s="20"/>
      <c r="L178" s="12"/>
      <c r="M178" s="20"/>
      <c r="N178" s="20"/>
    </row>
    <row r="179" customHeight="1" spans="1:14">
      <c r="A179" s="14"/>
      <c r="B179" s="7"/>
      <c r="C179" s="8"/>
      <c r="D179" s="9"/>
      <c r="E179" s="10"/>
      <c r="F179" s="79">
        <f t="shared" si="0"/>
        <v>1963.12</v>
      </c>
      <c r="G179" s="20"/>
      <c r="H179" s="20"/>
      <c r="I179" s="20"/>
      <c r="J179" s="20"/>
      <c r="K179" s="20"/>
      <c r="L179" s="12"/>
      <c r="M179" s="20"/>
      <c r="N179" s="20"/>
    </row>
    <row r="180" customHeight="1" spans="1:14">
      <c r="A180" s="14"/>
      <c r="B180" s="7"/>
      <c r="C180" s="8"/>
      <c r="D180" s="9"/>
      <c r="E180" s="10"/>
      <c r="F180" s="79">
        <f t="shared" si="0"/>
        <v>1963.12</v>
      </c>
      <c r="G180" s="15"/>
      <c r="H180" s="15"/>
      <c r="I180" s="15"/>
      <c r="J180" s="15"/>
      <c r="K180" s="15"/>
      <c r="L180" s="15"/>
      <c r="M180" s="15"/>
      <c r="N180" s="15"/>
    </row>
    <row r="181" customHeight="1" spans="1:14">
      <c r="A181" s="14"/>
      <c r="B181" s="7"/>
      <c r="C181" s="8"/>
      <c r="D181" s="9"/>
      <c r="E181" s="10"/>
      <c r="F181" s="79">
        <f t="shared" si="0"/>
        <v>1963.12</v>
      </c>
      <c r="G181" s="15"/>
      <c r="H181" s="15"/>
      <c r="I181" s="15"/>
      <c r="J181" s="15"/>
      <c r="K181" s="15"/>
      <c r="L181" s="15"/>
      <c r="M181" s="15"/>
      <c r="N181" s="15"/>
    </row>
    <row r="182" customHeight="1" spans="1:14">
      <c r="A182" s="14"/>
      <c r="B182" s="7"/>
      <c r="C182" s="8"/>
      <c r="D182" s="9"/>
      <c r="E182" s="10"/>
      <c r="F182" s="79">
        <f t="shared" si="0"/>
        <v>1963.12</v>
      </c>
      <c r="G182" s="15"/>
      <c r="H182" s="15"/>
      <c r="I182" s="15"/>
      <c r="J182" s="15"/>
      <c r="K182" s="15"/>
      <c r="L182" s="15"/>
      <c r="M182" s="15"/>
      <c r="N182" s="15"/>
    </row>
    <row r="183" customHeight="1" spans="1:14">
      <c r="A183" s="14"/>
      <c r="B183" s="7"/>
      <c r="C183" s="8"/>
      <c r="D183" s="9"/>
      <c r="E183" s="10"/>
      <c r="F183" s="79">
        <f t="shared" si="0"/>
        <v>1963.12</v>
      </c>
      <c r="G183" s="12"/>
      <c r="H183" s="12"/>
      <c r="I183" s="12"/>
      <c r="J183" s="12"/>
      <c r="K183" s="12"/>
      <c r="L183" s="12"/>
      <c r="M183" s="12"/>
      <c r="N183" s="12"/>
    </row>
    <row r="184" customHeight="1" spans="1:14">
      <c r="A184" s="14"/>
      <c r="B184" s="7"/>
      <c r="C184" s="8"/>
      <c r="D184" s="9"/>
      <c r="E184" s="10"/>
      <c r="F184" s="79">
        <f t="shared" si="0"/>
        <v>1963.12</v>
      </c>
      <c r="G184" s="12"/>
      <c r="H184" s="12"/>
      <c r="I184" s="12"/>
      <c r="J184" s="12"/>
      <c r="K184" s="12"/>
      <c r="L184" s="12"/>
      <c r="M184" s="12"/>
      <c r="N184" s="12"/>
    </row>
    <row r="185" customHeight="1" spans="1:14">
      <c r="A185" s="14"/>
      <c r="B185" s="7"/>
      <c r="C185" s="8"/>
      <c r="D185" s="9"/>
      <c r="E185" s="10"/>
      <c r="F185" s="79">
        <f t="shared" si="0"/>
        <v>1963.12</v>
      </c>
      <c r="G185" s="12"/>
      <c r="H185" s="12"/>
      <c r="I185" s="12"/>
      <c r="J185" s="12"/>
      <c r="K185" s="12"/>
      <c r="L185" s="12"/>
      <c r="M185" s="12"/>
      <c r="N185" s="12"/>
    </row>
    <row r="186" customHeight="1" spans="1:14">
      <c r="A186" s="14"/>
      <c r="B186" s="7"/>
      <c r="C186" s="8"/>
      <c r="D186" s="9"/>
      <c r="E186" s="10"/>
      <c r="F186" s="79">
        <f t="shared" si="0"/>
        <v>1963.12</v>
      </c>
      <c r="G186" s="12"/>
      <c r="H186" s="12"/>
      <c r="I186" s="12"/>
      <c r="J186" s="12"/>
      <c r="K186" s="12"/>
      <c r="L186" s="12"/>
      <c r="M186" s="12"/>
      <c r="N186" s="12"/>
    </row>
    <row r="187" customHeight="1" spans="1:14">
      <c r="A187" s="14"/>
      <c r="B187" s="7"/>
      <c r="C187" s="8"/>
      <c r="D187" s="9"/>
      <c r="E187" s="10"/>
      <c r="F187" s="79">
        <f t="shared" si="0"/>
        <v>1963.12</v>
      </c>
      <c r="G187" s="12"/>
      <c r="H187" s="12"/>
      <c r="I187" s="12"/>
      <c r="J187" s="12"/>
      <c r="K187" s="12"/>
      <c r="L187" s="12"/>
      <c r="M187" s="12"/>
      <c r="N187" s="12"/>
    </row>
    <row r="188" customHeight="1" spans="1:14">
      <c r="A188" s="14"/>
      <c r="B188" s="7"/>
      <c r="C188" s="8"/>
      <c r="D188" s="9"/>
      <c r="E188" s="10"/>
      <c r="F188" s="79">
        <f t="shared" si="0"/>
        <v>1963.12</v>
      </c>
      <c r="G188" s="20"/>
      <c r="H188" s="20"/>
      <c r="I188" s="20"/>
      <c r="J188" s="20"/>
      <c r="K188" s="20"/>
      <c r="L188" s="12"/>
      <c r="M188" s="20"/>
      <c r="N188" s="20"/>
    </row>
    <row r="189" customHeight="1" spans="1:14">
      <c r="A189" s="14"/>
      <c r="B189" s="7"/>
      <c r="C189" s="8"/>
      <c r="D189" s="9"/>
      <c r="E189" s="10"/>
      <c r="F189" s="79">
        <f t="shared" si="0"/>
        <v>1963.12</v>
      </c>
      <c r="G189" s="12"/>
      <c r="H189" s="12"/>
      <c r="I189" s="12"/>
      <c r="J189" s="12"/>
      <c r="K189" s="12"/>
      <c r="L189" s="12"/>
      <c r="M189" s="12"/>
      <c r="N189" s="12"/>
    </row>
    <row r="190" customHeight="1" spans="1:14">
      <c r="A190" s="14"/>
      <c r="B190" s="7"/>
      <c r="C190" s="8"/>
      <c r="D190" s="9"/>
      <c r="E190" s="10"/>
      <c r="F190" s="79">
        <f t="shared" si="0"/>
        <v>1963.12</v>
      </c>
      <c r="G190" s="12"/>
      <c r="H190" s="12"/>
      <c r="I190" s="12"/>
      <c r="J190" s="12"/>
      <c r="K190" s="12"/>
      <c r="L190" s="12"/>
      <c r="M190" s="12"/>
      <c r="N190" s="12"/>
    </row>
    <row r="191" customHeight="1" spans="1:14">
      <c r="A191" s="14"/>
      <c r="B191" s="7"/>
      <c r="C191" s="8"/>
      <c r="D191" s="9"/>
      <c r="E191" s="10"/>
      <c r="F191" s="79">
        <f t="shared" si="0"/>
        <v>1963.12</v>
      </c>
      <c r="G191" s="12"/>
      <c r="H191" s="12"/>
      <c r="I191" s="12"/>
      <c r="J191" s="12"/>
      <c r="K191" s="12"/>
      <c r="L191" s="12"/>
      <c r="M191" s="12"/>
      <c r="N191" s="12"/>
    </row>
    <row r="192" customHeight="1" spans="1:14">
      <c r="A192" s="14"/>
      <c r="B192" s="7"/>
      <c r="C192" s="8"/>
      <c r="D192" s="9"/>
      <c r="E192" s="10"/>
      <c r="F192" s="79">
        <f t="shared" si="0"/>
        <v>1963.12</v>
      </c>
      <c r="G192" s="12"/>
      <c r="H192" s="12"/>
      <c r="I192" s="12"/>
      <c r="J192" s="12"/>
      <c r="K192" s="12"/>
      <c r="L192" s="12"/>
      <c r="M192" s="12"/>
      <c r="N192" s="12"/>
    </row>
    <row r="193" customHeight="1" spans="1:14">
      <c r="A193" s="14"/>
      <c r="B193" s="7"/>
      <c r="C193" s="8"/>
      <c r="D193" s="9"/>
      <c r="E193" s="10"/>
      <c r="F193" s="79">
        <f t="shared" si="0"/>
        <v>1963.12</v>
      </c>
      <c r="G193" s="12"/>
      <c r="H193" s="12"/>
      <c r="I193" s="12"/>
      <c r="J193" s="12"/>
      <c r="K193" s="12"/>
      <c r="L193" s="12"/>
      <c r="M193" s="12"/>
      <c r="N193" s="12"/>
    </row>
    <row r="194" customHeight="1" spans="1:14">
      <c r="A194" s="14"/>
      <c r="B194" s="7"/>
      <c r="C194" s="8"/>
      <c r="D194" s="9"/>
      <c r="E194" s="10"/>
      <c r="F194" s="79">
        <f t="shared" si="0"/>
        <v>1963.12</v>
      </c>
      <c r="G194" s="12"/>
      <c r="H194" s="12"/>
      <c r="I194" s="12"/>
      <c r="J194" s="12"/>
      <c r="K194" s="12"/>
      <c r="L194" s="12"/>
      <c r="M194" s="12"/>
      <c r="N194" s="12"/>
    </row>
    <row r="195" customHeight="1" spans="1:14">
      <c r="A195" s="14"/>
      <c r="B195" s="7"/>
      <c r="C195" s="8"/>
      <c r="D195" s="9"/>
      <c r="E195" s="10"/>
      <c r="F195" s="79">
        <f t="shared" si="0"/>
        <v>1963.12</v>
      </c>
      <c r="G195" s="12"/>
      <c r="H195" s="12"/>
      <c r="I195" s="12"/>
      <c r="J195" s="12"/>
      <c r="K195" s="12"/>
      <c r="L195" s="12"/>
      <c r="M195" s="12"/>
      <c r="N195" s="12"/>
    </row>
    <row r="196" customHeight="1" spans="1:14">
      <c r="A196" s="14"/>
      <c r="B196" s="7"/>
      <c r="C196" s="8"/>
      <c r="D196" s="9"/>
      <c r="E196" s="10"/>
      <c r="F196" s="79">
        <f t="shared" si="0"/>
        <v>1963.12</v>
      </c>
      <c r="G196" s="12"/>
      <c r="H196" s="12"/>
      <c r="I196" s="12"/>
      <c r="J196" s="12"/>
      <c r="K196" s="12"/>
      <c r="L196" s="12"/>
      <c r="M196" s="12"/>
      <c r="N196" s="12"/>
    </row>
    <row r="197" customHeight="1" spans="1:14">
      <c r="A197" s="14"/>
      <c r="B197" s="7"/>
      <c r="C197" s="8"/>
      <c r="D197" s="9"/>
      <c r="E197" s="10"/>
      <c r="F197" s="79">
        <f t="shared" si="0"/>
        <v>1963.12</v>
      </c>
      <c r="G197" s="12"/>
      <c r="H197" s="12"/>
      <c r="I197" s="12"/>
      <c r="J197" s="12"/>
      <c r="K197" s="12"/>
      <c r="L197" s="12"/>
      <c r="M197" s="12"/>
      <c r="N197" s="12"/>
    </row>
    <row r="198" customHeight="1" spans="1:14">
      <c r="A198" s="117"/>
      <c r="B198" s="74"/>
      <c r="C198" s="75"/>
      <c r="D198" s="76"/>
      <c r="E198" s="78"/>
      <c r="F198" s="79">
        <f t="shared" si="0"/>
        <v>1963.12</v>
      </c>
      <c r="G198" s="110"/>
      <c r="H198" s="110"/>
      <c r="I198" s="110"/>
      <c r="J198" s="110"/>
      <c r="K198" s="110"/>
      <c r="L198" s="110"/>
      <c r="M198" s="110"/>
      <c r="N198" s="110"/>
    </row>
    <row r="199" customHeight="1" spans="1:14">
      <c r="A199" s="117"/>
      <c r="B199" s="74"/>
      <c r="C199" s="75"/>
      <c r="D199" s="76"/>
      <c r="E199" s="78"/>
      <c r="F199" s="79">
        <f t="shared" si="0"/>
        <v>1963.12</v>
      </c>
      <c r="G199" s="110"/>
      <c r="H199" s="110"/>
      <c r="I199" s="110"/>
      <c r="J199" s="110"/>
      <c r="K199" s="110"/>
      <c r="L199" s="110"/>
      <c r="M199" s="110"/>
      <c r="N199" s="110"/>
    </row>
    <row r="200" customHeight="1" spans="1:14">
      <c r="A200" s="117"/>
      <c r="B200" s="74"/>
      <c r="C200" s="75"/>
      <c r="D200" s="76"/>
      <c r="E200" s="78"/>
      <c r="F200" s="79">
        <f t="shared" si="0"/>
        <v>1963.12</v>
      </c>
      <c r="G200" s="110"/>
      <c r="H200" s="110"/>
      <c r="I200" s="110"/>
      <c r="J200" s="110"/>
      <c r="K200" s="110"/>
      <c r="L200" s="110"/>
      <c r="M200" s="110"/>
      <c r="N200" s="110"/>
    </row>
    <row r="201" customHeight="1" spans="1:14">
      <c r="A201" s="117"/>
      <c r="B201" s="74"/>
      <c r="C201" s="75"/>
      <c r="D201" s="76"/>
      <c r="E201" s="78"/>
      <c r="F201" s="79">
        <f t="shared" si="0"/>
        <v>1963.12</v>
      </c>
      <c r="G201" s="110"/>
      <c r="H201" s="110"/>
      <c r="I201" s="110"/>
      <c r="J201" s="110"/>
      <c r="K201" s="110"/>
      <c r="L201" s="110"/>
      <c r="M201" s="110"/>
      <c r="N201" s="110"/>
    </row>
    <row r="202" customHeight="1" spans="1:14">
      <c r="A202" s="117"/>
      <c r="B202" s="74"/>
      <c r="C202" s="75"/>
      <c r="D202" s="76"/>
      <c r="E202" s="78"/>
      <c r="F202" s="79">
        <f t="shared" si="0"/>
        <v>1963.12</v>
      </c>
      <c r="G202" s="110"/>
      <c r="H202" s="110"/>
      <c r="I202" s="110"/>
      <c r="J202" s="110"/>
      <c r="K202" s="110"/>
      <c r="L202" s="110"/>
      <c r="M202" s="110"/>
      <c r="N202" s="110"/>
    </row>
    <row r="203" customHeight="1" spans="1:14">
      <c r="A203" s="117"/>
      <c r="B203" s="74"/>
      <c r="C203" s="75"/>
      <c r="D203" s="76"/>
      <c r="E203" s="78"/>
      <c r="F203" s="79">
        <f t="shared" si="0"/>
        <v>1963.12</v>
      </c>
      <c r="G203" s="110"/>
      <c r="H203" s="110"/>
      <c r="I203" s="110"/>
      <c r="J203" s="110"/>
      <c r="K203" s="110"/>
      <c r="L203" s="110"/>
      <c r="M203" s="110"/>
      <c r="N203" s="110"/>
    </row>
    <row r="204" customHeight="1" spans="1:14">
      <c r="A204" s="117"/>
      <c r="B204" s="74"/>
      <c r="C204" s="75"/>
      <c r="D204" s="76"/>
      <c r="E204" s="78"/>
      <c r="F204" s="79">
        <f t="shared" si="0"/>
        <v>1963.12</v>
      </c>
      <c r="G204" s="110"/>
      <c r="H204" s="110"/>
      <c r="I204" s="110"/>
      <c r="J204" s="110"/>
      <c r="K204" s="110"/>
      <c r="L204" s="110"/>
      <c r="M204" s="110"/>
      <c r="N204" s="110"/>
    </row>
    <row r="205" customHeight="1" spans="1:14">
      <c r="A205" s="117"/>
      <c r="B205" s="74"/>
      <c r="C205" s="75"/>
      <c r="D205" s="76"/>
      <c r="E205" s="78"/>
      <c r="F205" s="79">
        <f t="shared" si="0"/>
        <v>1963.12</v>
      </c>
      <c r="G205" s="110"/>
      <c r="H205" s="110"/>
      <c r="I205" s="110"/>
      <c r="J205" s="110"/>
      <c r="K205" s="110"/>
      <c r="L205" s="110"/>
      <c r="M205" s="110"/>
      <c r="N205" s="110"/>
    </row>
    <row r="206" customHeight="1" spans="1:14">
      <c r="A206" s="117"/>
      <c r="B206" s="74"/>
      <c r="C206" s="75"/>
      <c r="D206" s="76"/>
      <c r="E206" s="78"/>
      <c r="F206" s="79">
        <f t="shared" si="0"/>
        <v>1963.12</v>
      </c>
      <c r="G206" s="110"/>
      <c r="H206" s="110"/>
      <c r="I206" s="110"/>
      <c r="J206" s="110"/>
      <c r="K206" s="110"/>
      <c r="L206" s="110"/>
      <c r="M206" s="110"/>
      <c r="N206" s="110"/>
    </row>
    <row r="207" customHeight="1" spans="1:14">
      <c r="A207" s="117"/>
      <c r="B207" s="74"/>
      <c r="C207" s="75"/>
      <c r="D207" s="76"/>
      <c r="E207" s="78"/>
      <c r="F207" s="79">
        <f t="shared" si="0"/>
        <v>1963.12</v>
      </c>
      <c r="G207" s="110"/>
      <c r="H207" s="110"/>
      <c r="I207" s="110"/>
      <c r="J207" s="110"/>
      <c r="K207" s="110"/>
      <c r="L207" s="110"/>
      <c r="M207" s="110"/>
      <c r="N207" s="110"/>
    </row>
    <row r="208" customHeight="1" spans="1:14">
      <c r="A208" s="117"/>
      <c r="B208" s="74"/>
      <c r="C208" s="75"/>
      <c r="D208" s="76"/>
      <c r="E208" s="78"/>
      <c r="F208" s="79">
        <f t="shared" si="0"/>
        <v>1963.12</v>
      </c>
      <c r="G208" s="110"/>
      <c r="H208" s="110"/>
      <c r="I208" s="110"/>
      <c r="J208" s="110"/>
      <c r="K208" s="110"/>
      <c r="L208" s="110"/>
      <c r="M208" s="110"/>
      <c r="N208" s="110"/>
    </row>
    <row r="209" customHeight="1" spans="1:14">
      <c r="A209" s="117"/>
      <c r="B209" s="74"/>
      <c r="C209" s="75"/>
      <c r="D209" s="76"/>
      <c r="E209" s="78"/>
      <c r="F209" s="79">
        <f t="shared" si="0"/>
        <v>1963.12</v>
      </c>
      <c r="G209" s="110"/>
      <c r="H209" s="110"/>
      <c r="I209" s="110"/>
      <c r="J209" s="110"/>
      <c r="K209" s="110"/>
      <c r="L209" s="110"/>
      <c r="M209" s="110"/>
      <c r="N209" s="110"/>
    </row>
    <row r="210" customHeight="1" spans="1:14">
      <c r="A210" s="117"/>
      <c r="B210" s="74"/>
      <c r="C210" s="75"/>
      <c r="D210" s="76"/>
      <c r="E210" s="78"/>
      <c r="F210" s="79">
        <f t="shared" si="0"/>
        <v>1963.12</v>
      </c>
      <c r="G210" s="110"/>
      <c r="H210" s="110"/>
      <c r="I210" s="110"/>
      <c r="J210" s="110"/>
      <c r="K210" s="110"/>
      <c r="L210" s="110"/>
      <c r="M210" s="110"/>
      <c r="N210" s="110"/>
    </row>
    <row r="211" customHeight="1" spans="1:14">
      <c r="A211" s="117"/>
      <c r="B211" s="74"/>
      <c r="C211" s="75"/>
      <c r="D211" s="76"/>
      <c r="E211" s="78"/>
      <c r="F211" s="79">
        <f t="shared" si="0"/>
        <v>1963.12</v>
      </c>
      <c r="G211" s="110"/>
      <c r="H211" s="110"/>
      <c r="I211" s="110"/>
      <c r="J211" s="110"/>
      <c r="K211" s="110"/>
      <c r="L211" s="110"/>
      <c r="M211" s="110"/>
      <c r="N211" s="110"/>
    </row>
    <row r="212" customHeight="1" spans="1:14">
      <c r="A212" s="117"/>
      <c r="B212" s="74"/>
      <c r="C212" s="75"/>
      <c r="D212" s="76"/>
      <c r="E212" s="78"/>
      <c r="F212" s="79">
        <f t="shared" si="0"/>
        <v>1963.12</v>
      </c>
      <c r="G212" s="110"/>
      <c r="H212" s="110"/>
      <c r="I212" s="110"/>
      <c r="J212" s="110"/>
      <c r="K212" s="110"/>
      <c r="L212" s="110"/>
      <c r="M212" s="110"/>
      <c r="N212" s="110"/>
    </row>
    <row r="213" customHeight="1" spans="1:14">
      <c r="A213" s="117"/>
      <c r="B213" s="74"/>
      <c r="C213" s="75"/>
      <c r="D213" s="76"/>
      <c r="E213" s="78"/>
      <c r="F213" s="79">
        <f t="shared" si="0"/>
        <v>1963.12</v>
      </c>
      <c r="G213" s="110"/>
      <c r="H213" s="110"/>
      <c r="I213" s="110"/>
      <c r="J213" s="110"/>
      <c r="K213" s="110"/>
      <c r="L213" s="110"/>
      <c r="M213" s="110"/>
      <c r="N213" s="110"/>
    </row>
    <row r="214" customHeight="1" spans="1:14">
      <c r="A214" s="117"/>
      <c r="B214" s="74"/>
      <c r="C214" s="75"/>
      <c r="D214" s="76"/>
      <c r="E214" s="78"/>
      <c r="F214" s="79">
        <f t="shared" si="0"/>
        <v>1963.12</v>
      </c>
      <c r="G214" s="110"/>
      <c r="H214" s="110"/>
      <c r="I214" s="110"/>
      <c r="J214" s="110"/>
      <c r="K214" s="110"/>
      <c r="L214" s="110"/>
      <c r="M214" s="110"/>
      <c r="N214" s="110"/>
    </row>
    <row r="215" customHeight="1" spans="1:14">
      <c r="A215" s="117"/>
      <c r="B215" s="74"/>
      <c r="C215" s="75"/>
      <c r="D215" s="76"/>
      <c r="E215" s="78"/>
      <c r="F215" s="79">
        <f t="shared" si="0"/>
        <v>1963.12</v>
      </c>
      <c r="G215" s="110"/>
      <c r="H215" s="110"/>
      <c r="I215" s="110"/>
      <c r="J215" s="110"/>
      <c r="K215" s="110"/>
      <c r="L215" s="110"/>
      <c r="M215" s="110"/>
      <c r="N215" s="110"/>
    </row>
    <row r="216" customHeight="1" spans="1:14">
      <c r="A216" s="117"/>
      <c r="B216" s="74"/>
      <c r="C216" s="75"/>
      <c r="D216" s="76"/>
      <c r="E216" s="78"/>
      <c r="F216" s="11">
        <f t="shared" si="0"/>
        <v>1963.12</v>
      </c>
      <c r="G216" s="110"/>
      <c r="H216" s="110"/>
      <c r="I216" s="110"/>
      <c r="J216" s="110"/>
      <c r="K216" s="110"/>
      <c r="L216" s="110"/>
      <c r="M216" s="110"/>
      <c r="N216" s="110"/>
    </row>
    <row r="217" customHeight="1" spans="1:14">
      <c r="A217" s="117"/>
      <c r="B217" s="74"/>
      <c r="C217" s="75"/>
      <c r="D217" s="76"/>
      <c r="E217" s="78"/>
      <c r="F217" s="11">
        <f t="shared" si="0"/>
        <v>1963.12</v>
      </c>
      <c r="G217" s="110"/>
      <c r="H217" s="110"/>
      <c r="I217" s="110"/>
      <c r="J217" s="110"/>
      <c r="K217" s="110"/>
      <c r="L217" s="110"/>
      <c r="M217" s="110"/>
      <c r="N217" s="110"/>
    </row>
    <row r="218" customHeight="1" spans="1:14">
      <c r="A218" s="117"/>
      <c r="B218" s="74"/>
      <c r="C218" s="75"/>
      <c r="D218" s="76"/>
      <c r="E218" s="78"/>
      <c r="F218" s="11">
        <f t="shared" si="0"/>
        <v>1963.12</v>
      </c>
      <c r="G218" s="110"/>
      <c r="H218" s="110"/>
      <c r="I218" s="110"/>
      <c r="J218" s="110"/>
      <c r="K218" s="110"/>
      <c r="L218" s="110"/>
      <c r="M218" s="110"/>
      <c r="N218" s="110"/>
    </row>
    <row r="219" customHeight="1" spans="1:14">
      <c r="A219" s="117"/>
      <c r="B219" s="74"/>
      <c r="C219" s="75"/>
      <c r="D219" s="76"/>
      <c r="E219" s="78"/>
      <c r="F219" s="11">
        <f t="shared" si="0"/>
        <v>1963.12</v>
      </c>
      <c r="G219" s="110"/>
      <c r="H219" s="110"/>
      <c r="I219" s="110"/>
      <c r="J219" s="110"/>
      <c r="K219" s="110"/>
      <c r="L219" s="110"/>
      <c r="M219" s="110"/>
      <c r="N219" s="110"/>
    </row>
    <row r="220" customHeight="1" spans="1:14">
      <c r="A220" s="117"/>
      <c r="B220" s="74"/>
      <c r="C220" s="75"/>
      <c r="D220" s="76"/>
      <c r="E220" s="78"/>
      <c r="F220" s="11">
        <f t="shared" si="0"/>
        <v>1963.12</v>
      </c>
      <c r="G220" s="110"/>
      <c r="H220" s="110"/>
      <c r="I220" s="110"/>
      <c r="J220" s="110"/>
      <c r="K220" s="110"/>
      <c r="L220" s="110"/>
      <c r="M220" s="110"/>
      <c r="N220" s="110"/>
    </row>
    <row r="221" customHeight="1" spans="1:14">
      <c r="A221" s="117"/>
      <c r="B221" s="74"/>
      <c r="C221" s="75"/>
      <c r="D221" s="76"/>
      <c r="E221" s="78"/>
      <c r="F221" s="11">
        <f t="shared" si="0"/>
        <v>1963.12</v>
      </c>
      <c r="G221" s="110"/>
      <c r="H221" s="110"/>
      <c r="I221" s="110"/>
      <c r="J221" s="110"/>
      <c r="K221" s="110"/>
      <c r="L221" s="110"/>
      <c r="M221" s="110"/>
      <c r="N221" s="110"/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2">
      <c r="A224" s="47"/>
      <c r="B224" s="48"/>
    </row>
    <row r="225" customHeight="1" spans="1:6">
      <c r="A225" s="67" t="s">
        <v>24</v>
      </c>
      <c r="B225" s="67">
        <v>15000</v>
      </c>
      <c r="D225" s="126" t="s">
        <v>294</v>
      </c>
      <c r="E225" s="126" t="s">
        <v>295</v>
      </c>
      <c r="F225" s="126" t="s">
        <v>15</v>
      </c>
    </row>
    <row r="226" customHeight="1" spans="1:6">
      <c r="A226" s="67" t="s">
        <v>230</v>
      </c>
      <c r="B226" s="67">
        <v>4000</v>
      </c>
      <c r="D226" s="70">
        <f t="shared" ref="D226:E226" si="1">SUM(D3:D221)</f>
        <v>57476.53</v>
      </c>
      <c r="E226" s="70">
        <f t="shared" si="1"/>
        <v>55513.41</v>
      </c>
      <c r="F226" s="70">
        <f>D226-E226</f>
        <v>1963.12</v>
      </c>
    </row>
    <row r="227" customHeight="1" spans="1:6">
      <c r="A227" s="47"/>
      <c r="B227" s="48"/>
      <c r="D227" s="52" t="s">
        <v>417</v>
      </c>
      <c r="E227" s="53">
        <f t="shared" ref="E227:E228" si="2">E226-B225</f>
        <v>40513.41</v>
      </c>
      <c r="F227" s="54"/>
    </row>
    <row r="228" customHeight="1" spans="1:6">
      <c r="A228" s="47"/>
      <c r="B228" s="48"/>
      <c r="D228" s="52" t="s">
        <v>497</v>
      </c>
      <c r="E228" s="53">
        <f t="shared" si="2"/>
        <v>36513.41</v>
      </c>
      <c r="F228" s="54"/>
    </row>
    <row r="229" customHeight="1" spans="1:2">
      <c r="A229" s="47"/>
      <c r="B229" s="48"/>
    </row>
    <row r="230" customHeight="1" spans="1:2">
      <c r="A230" s="47"/>
      <c r="B230" s="48"/>
    </row>
    <row r="231" customHeight="1" spans="1:2">
      <c r="A231" s="47"/>
      <c r="B231" s="48"/>
    </row>
    <row r="232" customHeight="1" spans="1:13">
      <c r="A232" s="47"/>
      <c r="B232" s="48"/>
      <c r="D232" s="55" t="s">
        <v>27</v>
      </c>
      <c r="E232" s="53">
        <f ca="1">SUMIF(C$3:E$221,"Grocery",E$3:E$221)</f>
        <v>13384.74</v>
      </c>
      <c r="F232" s="56">
        <f ca="1">SUM(E232:E234)</f>
        <v>18968.64</v>
      </c>
      <c r="K232" s="65"/>
      <c r="L232" s="65"/>
      <c r="M232" s="65"/>
    </row>
    <row r="233" customHeight="1" spans="1:13">
      <c r="A233" s="47"/>
      <c r="B233" s="48"/>
      <c r="D233" s="55" t="s">
        <v>224</v>
      </c>
      <c r="E233" s="53">
        <f ca="1">SUMIF(C$3:E$221,"Snacks",E$3:E$221)</f>
        <v>1652.9</v>
      </c>
      <c r="F233" s="57"/>
      <c r="K233" s="62"/>
      <c r="L233" s="62"/>
      <c r="M233" s="62"/>
    </row>
    <row r="234" customHeight="1" spans="1:13">
      <c r="A234" s="47"/>
      <c r="B234" s="48"/>
      <c r="D234" s="55" t="s">
        <v>299</v>
      </c>
      <c r="E234" s="53">
        <f ca="1">SUMIF(C$3:E$221,"Food",E$3:E$221)</f>
        <v>3931</v>
      </c>
      <c r="F234" s="58"/>
      <c r="K234" s="62"/>
      <c r="L234" s="62"/>
      <c r="M234" s="62"/>
    </row>
    <row r="235" customHeight="1" spans="1:13">
      <c r="A235" s="47"/>
      <c r="B235" s="48"/>
      <c r="D235" s="55" t="s">
        <v>245</v>
      </c>
      <c r="E235" s="53">
        <f ca="1">SUMIF(C$3:E$221,"Health",E$3:E$221)</f>
        <v>2796</v>
      </c>
      <c r="K235" s="62"/>
      <c r="L235" s="62"/>
      <c r="M235" s="62"/>
    </row>
    <row r="236" customHeight="1" spans="1:13">
      <c r="A236" s="47"/>
      <c r="B236" s="48"/>
      <c r="D236" s="55" t="s">
        <v>54</v>
      </c>
      <c r="E236" s="53">
        <f ca="1">SUMIF(C$3:E$221,"Dress",E$3:E$221)</f>
        <v>0</v>
      </c>
      <c r="F236" s="59"/>
      <c r="G236" s="60"/>
      <c r="K236" s="62"/>
      <c r="L236" s="62"/>
      <c r="M236" s="62"/>
    </row>
    <row r="237" customHeight="1" spans="1:13">
      <c r="A237" s="47"/>
      <c r="B237" s="48"/>
      <c r="D237" s="55" t="s">
        <v>214</v>
      </c>
      <c r="E237" s="53">
        <f ca="1">SUMIF(C$3:E$221,"Home",E$3:E$221)</f>
        <v>23089.9</v>
      </c>
      <c r="K237" s="62"/>
      <c r="L237" s="62"/>
      <c r="M237" s="62"/>
    </row>
    <row r="238" customHeight="1" spans="1:13">
      <c r="A238" s="47"/>
      <c r="B238" s="48"/>
      <c r="D238" s="55" t="s">
        <v>281</v>
      </c>
      <c r="E238" s="53">
        <f ca="1">SUMIF(C$3:E$221,"Tickets",E$3:E$221)</f>
        <v>0</v>
      </c>
      <c r="F238" s="61">
        <f ca="1">SUM(E238:E240)</f>
        <v>1830</v>
      </c>
      <c r="G238" s="62"/>
      <c r="K238" s="62"/>
      <c r="L238" s="62"/>
      <c r="M238" s="62"/>
    </row>
    <row r="239" customHeight="1" spans="1:13">
      <c r="A239" s="47"/>
      <c r="B239" s="48"/>
      <c r="D239" s="55" t="s">
        <v>210</v>
      </c>
      <c r="E239" s="53">
        <f ca="1">SUMIF(C$3:E$221,"Transport",E$3:E$221)</f>
        <v>720</v>
      </c>
      <c r="F239" s="66"/>
      <c r="H239" s="67" t="s">
        <v>300</v>
      </c>
      <c r="K239" s="62"/>
      <c r="L239" s="62"/>
      <c r="M239" s="62"/>
    </row>
    <row r="240" customHeight="1" spans="1:8">
      <c r="A240" s="47"/>
      <c r="B240" s="48"/>
      <c r="D240" s="55" t="s">
        <v>201</v>
      </c>
      <c r="E240" s="53">
        <f ca="1">SUMIF(C$3:E$221,"Fuel",E$3:E$221)</f>
        <v>1110</v>
      </c>
      <c r="F240" s="68"/>
      <c r="H240" s="53">
        <f ca="1">E226-E242</f>
        <v>0</v>
      </c>
    </row>
    <row r="241" customHeight="1" spans="1:5">
      <c r="A241" s="47"/>
      <c r="B241" s="48"/>
      <c r="D241" s="55" t="s">
        <v>219</v>
      </c>
      <c r="E241" s="53">
        <f ca="1">SUMIF(C$3:E$221,"Others",E$3:E$221)</f>
        <v>8828.87</v>
      </c>
    </row>
    <row r="242" customHeight="1" spans="1:13">
      <c r="A242" s="47"/>
      <c r="B242" s="48"/>
      <c r="D242" s="69" t="s">
        <v>7</v>
      </c>
      <c r="E242" s="70">
        <f ca="1">SUM(E232:E241)</f>
        <v>55513.41</v>
      </c>
      <c r="K242" s="71"/>
      <c r="L242" s="72"/>
      <c r="M242" s="72"/>
    </row>
    <row r="243" customHeight="1" spans="1:13">
      <c r="A243" s="47"/>
      <c r="B243" s="48"/>
      <c r="K243" s="71"/>
      <c r="L243" s="72"/>
      <c r="M243" s="72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2">
      <c r="A912" s="47"/>
      <c r="B912" s="48"/>
    </row>
    <row r="913" customHeight="1" spans="1:2">
      <c r="A913" s="47"/>
      <c r="B913" s="48"/>
    </row>
    <row r="914" customHeight="1" spans="1:2">
      <c r="A914" s="47"/>
      <c r="B914" s="48"/>
    </row>
    <row r="915" customHeight="1" spans="1:2">
      <c r="A915" s="47"/>
      <c r="B915" s="48"/>
    </row>
    <row r="916" customHeight="1" spans="1:2">
      <c r="A916" s="47"/>
      <c r="B916" s="48"/>
    </row>
    <row r="917" customHeight="1" spans="1:2">
      <c r="A917" s="47"/>
      <c r="B917" s="48"/>
    </row>
    <row r="918" customHeight="1" spans="1:2">
      <c r="A918" s="47"/>
      <c r="B918" s="48"/>
    </row>
    <row r="919" customHeight="1" spans="1:2">
      <c r="A919" s="47"/>
      <c r="B919" s="48"/>
    </row>
    <row r="920" customHeight="1" spans="1:2">
      <c r="A920" s="47"/>
      <c r="B920" s="48"/>
    </row>
    <row r="921" customHeight="1" spans="1:2">
      <c r="A921" s="47"/>
      <c r="B921" s="48"/>
    </row>
    <row r="922" customHeight="1" spans="1:2">
      <c r="A922" s="47"/>
      <c r="B922" s="48"/>
    </row>
    <row r="923" customHeight="1" spans="1:2">
      <c r="A923" s="47"/>
      <c r="B923" s="48"/>
    </row>
    <row r="924" customHeight="1" spans="1:2">
      <c r="A924" s="47"/>
      <c r="B924" s="48"/>
    </row>
    <row r="925" customHeight="1" spans="1:2">
      <c r="A925" s="47"/>
      <c r="B925" s="48"/>
    </row>
    <row r="926" customHeight="1" spans="1:2">
      <c r="A926" s="47"/>
      <c r="B926" s="48"/>
    </row>
    <row r="927" customHeight="1" spans="1:2">
      <c r="A927" s="47"/>
      <c r="B927" s="48"/>
    </row>
    <row r="928" customHeight="1" spans="1:2">
      <c r="A928" s="47"/>
      <c r="B928" s="48"/>
    </row>
    <row r="929" customHeight="1" spans="1:2">
      <c r="A929" s="47"/>
      <c r="B929" s="48"/>
    </row>
    <row r="930" customHeight="1" spans="1:2">
      <c r="A930" s="47"/>
      <c r="B930" s="48"/>
    </row>
    <row r="931" customHeight="1" spans="1:2">
      <c r="A931" s="47"/>
      <c r="B931" s="48"/>
    </row>
    <row r="932" customHeight="1" spans="1:2">
      <c r="A932" s="47"/>
      <c r="B932" s="48"/>
    </row>
    <row r="933" customHeight="1" spans="1:2">
      <c r="A933" s="47"/>
      <c r="B933" s="48"/>
    </row>
    <row r="934" customHeight="1" spans="1:2">
      <c r="A934" s="47"/>
      <c r="B934" s="48"/>
    </row>
    <row r="935" customHeight="1" spans="1:2">
      <c r="A935" s="47"/>
      <c r="B935" s="48"/>
    </row>
    <row r="936" customHeight="1" spans="1:2">
      <c r="A936" s="47"/>
      <c r="B936" s="48"/>
    </row>
    <row r="937" customHeight="1" spans="1:2">
      <c r="A937" s="47"/>
      <c r="B937" s="48"/>
    </row>
    <row r="938" customHeight="1" spans="1:2">
      <c r="A938" s="47"/>
      <c r="B938" s="48"/>
    </row>
    <row r="939" customHeight="1" spans="1:2">
      <c r="A939" s="47"/>
      <c r="B939" s="48"/>
    </row>
    <row r="940" customHeight="1" spans="1:2">
      <c r="A940" s="47"/>
      <c r="B940" s="48"/>
    </row>
    <row r="941" customHeight="1" spans="1:2">
      <c r="A941" s="47"/>
      <c r="B941" s="48"/>
    </row>
    <row r="942" customHeight="1" spans="1:2">
      <c r="A942" s="47"/>
      <c r="B942" s="48"/>
    </row>
    <row r="943" customHeight="1" spans="1:2">
      <c r="A943" s="47"/>
      <c r="B943" s="48"/>
    </row>
    <row r="944" customHeight="1" spans="1:2">
      <c r="A944" s="47"/>
      <c r="B944" s="48"/>
    </row>
    <row r="945" customHeight="1" spans="1:2">
      <c r="A945" s="47"/>
      <c r="B945" s="48"/>
    </row>
    <row r="946" customHeight="1" spans="1:2">
      <c r="A946" s="47"/>
      <c r="B946" s="48"/>
    </row>
    <row r="947" customHeight="1" spans="1:2">
      <c r="A947" s="47"/>
      <c r="B947" s="48"/>
    </row>
    <row r="948" customHeight="1" spans="1:2">
      <c r="A948" s="47"/>
      <c r="B948" s="48"/>
    </row>
    <row r="949" customHeight="1" spans="1:2">
      <c r="A949" s="47"/>
      <c r="B949" s="48"/>
    </row>
    <row r="950" customHeight="1" spans="1:2">
      <c r="A950" s="47"/>
      <c r="B950" s="48"/>
    </row>
    <row r="951" customHeight="1" spans="1:2">
      <c r="A951" s="47"/>
      <c r="B951" s="48"/>
    </row>
    <row r="952" customHeight="1" spans="1:2">
      <c r="A952" s="47"/>
      <c r="B952" s="48"/>
    </row>
    <row r="953" customHeight="1" spans="1:2">
      <c r="A953" s="47"/>
      <c r="B953" s="48"/>
    </row>
    <row r="954" customHeight="1" spans="1:2">
      <c r="A954" s="47"/>
      <c r="B954" s="48"/>
    </row>
    <row r="955" customHeight="1" spans="1:2">
      <c r="A955" s="47"/>
      <c r="B955" s="48"/>
    </row>
    <row r="956" customHeight="1" spans="1:2">
      <c r="A956" s="47"/>
      <c r="B956" s="48"/>
    </row>
    <row r="957" customHeight="1" spans="1:2">
      <c r="A957" s="47"/>
      <c r="B957" s="48"/>
    </row>
    <row r="958" customHeight="1" spans="1:2">
      <c r="A958" s="47"/>
      <c r="B958" s="48"/>
    </row>
    <row r="959" customHeight="1" spans="1:2">
      <c r="A959" s="47"/>
      <c r="B959" s="48"/>
    </row>
    <row r="960" customHeight="1" spans="1:2">
      <c r="A960" s="47"/>
      <c r="B960" s="48"/>
    </row>
    <row r="961" customHeight="1" spans="1:2">
      <c r="A961" s="47"/>
      <c r="B961" s="48"/>
    </row>
    <row r="962" customHeight="1" spans="1:2">
      <c r="A962" s="47"/>
      <c r="B962" s="48"/>
    </row>
    <row r="963" customHeight="1" spans="1:2">
      <c r="A963" s="47"/>
      <c r="B963" s="48"/>
    </row>
    <row r="964" customHeight="1" spans="1:2">
      <c r="A964" s="47"/>
      <c r="B964" s="48"/>
    </row>
    <row r="965" customHeight="1" spans="1:2">
      <c r="A965" s="47"/>
      <c r="B965" s="48"/>
    </row>
    <row r="966" customHeight="1" spans="1:2">
      <c r="A966" s="47"/>
      <c r="B966" s="48"/>
    </row>
    <row r="967" customHeight="1" spans="1:2">
      <c r="A967" s="47"/>
      <c r="B967" s="48"/>
    </row>
    <row r="968" customHeight="1" spans="1:2">
      <c r="A968" s="47"/>
      <c r="B968" s="48"/>
    </row>
    <row r="969" customHeight="1" spans="1:2">
      <c r="A969" s="47"/>
      <c r="B969" s="48"/>
    </row>
    <row r="970" customHeight="1" spans="1:2">
      <c r="A970" s="47"/>
      <c r="B970" s="48"/>
    </row>
    <row r="971" customHeight="1" spans="1:2">
      <c r="A971" s="47"/>
      <c r="B971" s="48"/>
    </row>
    <row r="972" customHeight="1" spans="1:2">
      <c r="A972" s="47"/>
      <c r="B972" s="48"/>
    </row>
    <row r="973" customHeight="1" spans="1:2">
      <c r="A973" s="47"/>
      <c r="B973" s="48"/>
    </row>
    <row r="974" customHeight="1" spans="1:2">
      <c r="A974" s="47"/>
      <c r="B974" s="48"/>
    </row>
    <row r="975" customHeight="1" spans="1:2">
      <c r="A975" s="47"/>
      <c r="B975" s="48"/>
    </row>
    <row r="976" customHeight="1" spans="1:2">
      <c r="A976" s="47"/>
      <c r="B976" s="48"/>
    </row>
    <row r="977" customHeight="1" spans="1:2">
      <c r="A977" s="47"/>
      <c r="B977" s="48"/>
    </row>
    <row r="978" customHeight="1" spans="1:2">
      <c r="A978" s="47"/>
      <c r="B978" s="48"/>
    </row>
    <row r="979" customHeight="1" spans="1:2">
      <c r="A979" s="47"/>
      <c r="B979" s="48"/>
    </row>
    <row r="980" customHeight="1" spans="1:2">
      <c r="A980" s="47"/>
      <c r="B980" s="48"/>
    </row>
    <row r="981" customHeight="1" spans="1:2">
      <c r="A981" s="47"/>
      <c r="B981" s="48"/>
    </row>
    <row r="982" customHeight="1" spans="1:2">
      <c r="A982" s="47"/>
      <c r="B982" s="48"/>
    </row>
    <row r="983" customHeight="1" spans="1:2">
      <c r="A983" s="47"/>
      <c r="B983" s="48"/>
    </row>
    <row r="984" customHeight="1" spans="1:2">
      <c r="A984" s="47"/>
      <c r="B984" s="48"/>
    </row>
    <row r="985" customHeight="1" spans="1:2">
      <c r="A985" s="47"/>
      <c r="B985" s="48"/>
    </row>
    <row r="986" customHeight="1" spans="1:2">
      <c r="A986" s="47"/>
      <c r="B986" s="48"/>
    </row>
    <row r="987" customHeight="1" spans="1:2">
      <c r="A987" s="47"/>
      <c r="B987" s="48"/>
    </row>
    <row r="988" customHeight="1" spans="1:2">
      <c r="A988" s="47"/>
      <c r="B988" s="48"/>
    </row>
    <row r="989" customHeight="1" spans="1:2">
      <c r="A989" s="47"/>
      <c r="B989" s="48"/>
    </row>
    <row r="990" customHeight="1" spans="1:2">
      <c r="A990" s="47"/>
      <c r="B990" s="48"/>
    </row>
    <row r="991" customHeight="1" spans="1:2">
      <c r="A991" s="47"/>
      <c r="B991" s="48"/>
    </row>
    <row r="992" customHeight="1" spans="1:2">
      <c r="A992" s="47"/>
      <c r="B992" s="48"/>
    </row>
    <row r="993" customHeight="1" spans="1:2">
      <c r="A993" s="47"/>
      <c r="B993" s="48"/>
    </row>
    <row r="994" customHeight="1" spans="1:2">
      <c r="A994" s="47"/>
      <c r="B994" s="48"/>
    </row>
    <row r="995" customHeight="1" spans="1:2">
      <c r="A995" s="47"/>
      <c r="B995" s="48"/>
    </row>
    <row r="996" customHeight="1" spans="1:2">
      <c r="A996" s="47"/>
      <c r="B996" s="48"/>
    </row>
    <row r="997" customHeight="1" spans="1:2">
      <c r="A997" s="47"/>
      <c r="B997" s="48"/>
    </row>
    <row r="998" customHeight="1" spans="1:2">
      <c r="A998" s="47"/>
      <c r="B998" s="48"/>
    </row>
    <row r="999" customHeight="1" spans="1:2">
      <c r="A999" s="47"/>
      <c r="B999" s="48"/>
    </row>
    <row r="1000" customHeight="1" spans="1:2">
      <c r="A1000" s="47"/>
      <c r="B1000" s="48"/>
    </row>
    <row r="1001" customHeight="1" spans="1:2">
      <c r="A1001" s="47"/>
      <c r="B1001" s="48"/>
    </row>
    <row r="1002" customHeight="1" spans="1:2">
      <c r="A1002" s="47"/>
      <c r="B1002" s="48"/>
    </row>
    <row r="1003" customHeight="1" spans="1:2">
      <c r="A1003" s="47"/>
      <c r="B1003" s="48"/>
    </row>
    <row r="1004" customHeight="1" spans="1:2">
      <c r="A1004" s="47"/>
      <c r="B1004" s="48"/>
    </row>
    <row r="1005" customHeight="1" spans="1:2">
      <c r="A1005" s="47"/>
      <c r="B1005" s="48"/>
    </row>
    <row r="1006" customHeight="1" spans="1:2">
      <c r="A1006" s="47"/>
      <c r="B1006" s="48"/>
    </row>
    <row r="1007" customHeight="1" spans="1:2">
      <c r="A1007" s="47"/>
      <c r="B1007" s="48"/>
    </row>
    <row r="1008" customHeight="1" spans="1:2">
      <c r="A1008" s="47"/>
      <c r="B1008" s="48"/>
    </row>
    <row r="1009" customHeight="1" spans="1:2">
      <c r="A1009" s="47"/>
      <c r="B1009" s="48"/>
    </row>
    <row r="1010" customHeight="1" spans="1:2">
      <c r="A1010" s="47"/>
      <c r="B1010" s="48"/>
    </row>
    <row r="1011" customHeight="1" spans="1:2">
      <c r="A1011" s="47"/>
      <c r="B1011" s="48"/>
    </row>
    <row r="1012" customHeight="1" spans="1:2">
      <c r="A1012" s="47"/>
      <c r="B1012" s="48"/>
    </row>
    <row r="1013" customHeight="1" spans="1:2">
      <c r="A1013" s="47"/>
      <c r="B1013" s="48"/>
    </row>
    <row r="1014" customHeight="1" spans="1:2">
      <c r="A1014" s="47"/>
      <c r="B1014" s="48"/>
    </row>
    <row r="1015" customHeight="1" spans="1:2">
      <c r="A1015" s="47"/>
      <c r="B1015" s="48"/>
    </row>
    <row r="1016" customHeight="1" spans="1:2">
      <c r="A1016" s="47"/>
      <c r="B1016" s="48"/>
    </row>
    <row r="1017" customHeight="1" spans="1:2">
      <c r="A1017" s="47"/>
      <c r="B1017" s="48"/>
    </row>
    <row r="1018" customHeight="1" spans="1:2">
      <c r="A1018" s="47"/>
      <c r="B1018" s="48"/>
    </row>
    <row r="1019" customHeight="1" spans="1:2">
      <c r="A1019" s="47"/>
      <c r="B1019" s="48"/>
    </row>
    <row r="1020" customHeight="1" spans="1:2">
      <c r="A1020" s="47"/>
      <c r="B1020" s="48"/>
    </row>
    <row r="1021" customHeight="1" spans="1:2">
      <c r="A1021" s="47"/>
      <c r="B1021" s="48"/>
    </row>
    <row r="1022" customHeight="1" spans="1:1">
      <c r="A1022" s="47"/>
    </row>
    <row r="1023" customHeight="1" spans="1:1">
      <c r="A1023" s="47"/>
    </row>
    <row r="1024" customHeight="1" spans="1:1">
      <c r="A1024" s="47"/>
    </row>
    <row r="1025" customHeight="1" spans="1:1">
      <c r="A1025" s="47"/>
    </row>
    <row r="1026" customHeight="1" spans="1:1">
      <c r="A1026" s="47"/>
    </row>
    <row r="1027" customHeight="1" spans="1:1">
      <c r="A1027" s="47"/>
    </row>
    <row r="1028" customHeight="1" spans="1:1">
      <c r="A1028" s="47"/>
    </row>
    <row r="1029" customHeight="1" spans="1:1">
      <c r="A1029" s="47"/>
    </row>
    <row r="1030" customHeight="1" spans="1:1">
      <c r="A1030" s="47"/>
    </row>
    <row r="1031" customHeight="1" spans="1:1">
      <c r="A1031" s="47"/>
    </row>
    <row r="1032" customHeight="1" spans="1:1">
      <c r="A1032" s="47"/>
    </row>
    <row r="1033" customHeight="1" spans="1:1">
      <c r="A1033" s="47"/>
    </row>
    <row r="1034" customHeight="1" spans="1:1">
      <c r="A1034" s="47"/>
    </row>
    <row r="1035" customHeight="1" spans="1:1">
      <c r="A1035" s="47"/>
    </row>
    <row r="1036" customHeight="1" spans="1:1">
      <c r="A1036" s="47"/>
    </row>
    <row r="1037" customHeight="1" spans="1:1">
      <c r="A1037" s="47"/>
    </row>
    <row r="1038" customHeight="1" spans="1:1">
      <c r="A1038" s="47"/>
    </row>
    <row r="1039" customHeight="1" spans="1:1">
      <c r="A1039" s="47"/>
    </row>
    <row r="1040" customHeight="1" spans="1:1">
      <c r="A1040" s="47"/>
    </row>
    <row r="1041" customHeight="1" spans="1:1">
      <c r="A1041" s="47"/>
    </row>
    <row r="1042" customHeight="1" spans="1:1">
      <c r="A1042" s="47"/>
    </row>
    <row r="1043" customHeight="1" spans="1:1">
      <c r="A1043" s="47"/>
    </row>
    <row r="1044" customHeight="1" spans="1:1">
      <c r="A1044" s="47"/>
    </row>
    <row r="1045" customHeight="1" spans="1:1">
      <c r="A1045" s="47"/>
    </row>
    <row r="1046" customHeight="1" spans="1:1">
      <c r="A1046" s="47"/>
    </row>
    <row r="1047" customHeight="1" spans="1:1">
      <c r="A1047" s="47"/>
    </row>
    <row r="1048" customHeight="1" spans="1:1">
      <c r="A1048" s="47"/>
    </row>
    <row r="1049" customHeight="1" spans="1:1">
      <c r="A1049" s="47"/>
    </row>
    <row r="1050" customHeight="1" spans="1:1">
      <c r="A1050" s="47"/>
    </row>
    <row r="1051" customHeight="1" spans="1:1">
      <c r="A1051" s="47"/>
    </row>
    <row r="1052" customHeight="1" spans="1:1">
      <c r="A1052" s="47"/>
    </row>
    <row r="1053" customHeight="1" spans="1:1">
      <c r="A1053" s="47"/>
    </row>
    <row r="1054" customHeight="1" spans="1:1">
      <c r="A1054" s="47"/>
    </row>
    <row r="1055" customHeight="1" spans="1:1">
      <c r="A1055" s="47"/>
    </row>
    <row r="1056" customHeight="1" spans="1:1">
      <c r="A1056" s="47"/>
    </row>
    <row r="1057" customHeight="1" spans="1:1">
      <c r="A1057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232:F234"/>
    <mergeCell ref="F238:F240"/>
    <mergeCell ref="G1:G2"/>
    <mergeCell ref="H1:H2"/>
    <mergeCell ref="I1:I2"/>
    <mergeCell ref="J1:J2"/>
    <mergeCell ref="K1:K2"/>
    <mergeCell ref="L1:L2"/>
  </mergeCells>
  <conditionalFormatting sqref="G141:G142 G152 G170">
    <cfRule type="expression" dxfId="0" priority="1">
      <formula>"F56"</formula>
    </cfRule>
  </conditionalFormatting>
  <dataValidations count="1">
    <dataValidation type="list" allowBlank="1" showErrorMessage="1" sqref="C3:C33 C35:C221">
      <formula1>"Home,Food,Grocery,Snacks,Health,Transport,Fuel,Tickets,Dress,Others"</formula1>
    </dataValidation>
  </dataValidation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947"/>
  <sheetViews>
    <sheetView tabSelected="1" workbookViewId="0">
      <pane ySplit="2" topLeftCell="A3" activePane="bottomLeft" state="frozen"/>
      <selection/>
      <selection pane="bottomLeft" activeCell="F15" sqref="F15"/>
    </sheetView>
  </sheetViews>
  <sheetFormatPr defaultColWidth="12.6296296296296" defaultRowHeight="15.75" customHeight="1"/>
  <cols>
    <col min="2" max="2" width="24" customWidth="1"/>
    <col min="4" max="4" width="14.75" customWidth="1"/>
  </cols>
  <sheetData>
    <row r="1" customHeight="1" spans="1:14">
      <c r="A1" s="1" t="s">
        <v>72</v>
      </c>
      <c r="B1" s="2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675</v>
      </c>
      <c r="I1" s="4" t="s">
        <v>676</v>
      </c>
      <c r="J1" s="31" t="s">
        <v>9</v>
      </c>
      <c r="K1" s="4" t="s">
        <v>10</v>
      </c>
      <c r="L1" s="4" t="s">
        <v>11</v>
      </c>
      <c r="M1" s="32" t="s">
        <v>12</v>
      </c>
      <c r="N1" s="33"/>
    </row>
    <row r="2" customHeight="1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 t="s">
        <v>194</v>
      </c>
      <c r="N2" s="4" t="s">
        <v>207</v>
      </c>
    </row>
    <row r="3" customHeight="1" spans="1:14">
      <c r="A3" s="6" t="s">
        <v>1109</v>
      </c>
      <c r="B3" s="7" t="s">
        <v>6</v>
      </c>
      <c r="C3" s="8"/>
      <c r="D3" s="9">
        <v>1963.12</v>
      </c>
      <c r="E3" s="10"/>
      <c r="F3" s="11">
        <f>D3-E3</f>
        <v>1963.12</v>
      </c>
      <c r="G3" s="12"/>
      <c r="H3" s="13"/>
      <c r="I3" s="13"/>
      <c r="J3" s="13"/>
      <c r="K3" s="13"/>
      <c r="L3" s="13"/>
      <c r="M3" s="13"/>
      <c r="N3" s="13"/>
    </row>
    <row r="4" customHeight="1" spans="1:14">
      <c r="A4" s="14"/>
      <c r="B4" s="7" t="s">
        <v>74</v>
      </c>
      <c r="C4" s="8"/>
      <c r="D4" s="9">
        <v>35319</v>
      </c>
      <c r="E4" s="10"/>
      <c r="F4" s="11">
        <f t="shared" ref="F4:F111" si="0">(D4-E4)+F3</f>
        <v>37282.12</v>
      </c>
      <c r="G4" s="15"/>
      <c r="H4" s="15"/>
      <c r="I4" s="15"/>
      <c r="J4" s="15"/>
      <c r="K4" s="15"/>
      <c r="L4" s="15"/>
      <c r="M4" s="15"/>
      <c r="N4" s="15"/>
    </row>
    <row r="5" customHeight="1" spans="1:14">
      <c r="A5" s="6"/>
      <c r="B5" s="16" t="s">
        <v>1110</v>
      </c>
      <c r="C5" s="17" t="s">
        <v>27</v>
      </c>
      <c r="D5" s="18"/>
      <c r="E5" s="19">
        <v>1281.29</v>
      </c>
      <c r="F5" s="11">
        <f t="shared" si="0"/>
        <v>36000.83</v>
      </c>
      <c r="G5" s="15"/>
      <c r="H5" s="15"/>
      <c r="I5" s="15"/>
      <c r="J5" s="15"/>
      <c r="K5" s="15"/>
      <c r="L5" s="15"/>
      <c r="M5" s="15"/>
      <c r="N5" s="15"/>
    </row>
    <row r="6" customHeight="1" spans="1:14">
      <c r="A6" s="6"/>
      <c r="B6" s="7" t="s">
        <v>684</v>
      </c>
      <c r="C6" s="8" t="s">
        <v>219</v>
      </c>
      <c r="D6" s="9"/>
      <c r="E6" s="10">
        <v>4000</v>
      </c>
      <c r="F6" s="11">
        <f t="shared" si="0"/>
        <v>32000.83</v>
      </c>
      <c r="G6" s="11"/>
      <c r="H6" s="20"/>
      <c r="I6" s="20"/>
      <c r="J6" s="20"/>
      <c r="K6" s="20"/>
      <c r="L6" s="20"/>
      <c r="M6" s="20"/>
      <c r="N6" s="20"/>
    </row>
    <row r="7" customHeight="1" spans="1:14">
      <c r="A7" s="6"/>
      <c r="B7" s="7"/>
      <c r="C7" s="8" t="s">
        <v>219</v>
      </c>
      <c r="D7" s="9"/>
      <c r="E7" s="10">
        <v>200</v>
      </c>
      <c r="F7" s="11">
        <f t="shared" si="0"/>
        <v>31800.83</v>
      </c>
      <c r="G7" s="15"/>
      <c r="H7" s="20"/>
      <c r="I7" s="20"/>
      <c r="J7" s="20"/>
      <c r="K7" s="20"/>
      <c r="L7" s="20"/>
      <c r="M7" s="20"/>
      <c r="N7" s="20"/>
    </row>
    <row r="8" customHeight="1" spans="1:14">
      <c r="A8" s="6"/>
      <c r="B8" s="7"/>
      <c r="C8" s="8"/>
      <c r="D8" s="9">
        <v>2</v>
      </c>
      <c r="E8" s="10"/>
      <c r="F8" s="11">
        <f t="shared" si="0"/>
        <v>31802.83</v>
      </c>
      <c r="G8" s="20">
        <f>G9-F11</f>
        <v>17468</v>
      </c>
      <c r="H8" s="20"/>
      <c r="J8" s="20"/>
      <c r="K8" s="20"/>
      <c r="L8" s="20"/>
      <c r="M8" s="20"/>
      <c r="N8" s="20"/>
    </row>
    <row r="9" customHeight="1" spans="1:14">
      <c r="A9" s="6"/>
      <c r="B9" s="7" t="s">
        <v>17</v>
      </c>
      <c r="C9" s="8" t="s">
        <v>86</v>
      </c>
      <c r="D9" s="9"/>
      <c r="E9" s="10">
        <v>445</v>
      </c>
      <c r="F9" s="11">
        <f t="shared" si="0"/>
        <v>31357.83</v>
      </c>
      <c r="G9" s="11">
        <f>H9+I9+J9+K9+L9+M9+N9</f>
        <v>31357.83</v>
      </c>
      <c r="H9" s="21">
        <v>510.5</v>
      </c>
      <c r="I9" s="34">
        <v>289.6</v>
      </c>
      <c r="J9" s="21">
        <f>1000-728</f>
        <v>272</v>
      </c>
      <c r="K9" s="20">
        <v>0</v>
      </c>
      <c r="L9" s="20">
        <v>30035.73</v>
      </c>
      <c r="M9" s="20">
        <v>0</v>
      </c>
      <c r="N9" s="21">
        <v>250</v>
      </c>
    </row>
    <row r="10" customHeight="1" spans="1:14">
      <c r="A10" s="22" t="s">
        <v>1111</v>
      </c>
      <c r="B10" s="23" t="s">
        <v>1112</v>
      </c>
      <c r="C10" s="24" t="s">
        <v>281</v>
      </c>
      <c r="D10" s="25"/>
      <c r="E10" s="26">
        <v>2468</v>
      </c>
      <c r="F10" s="27">
        <f t="shared" si="0"/>
        <v>28889.83</v>
      </c>
      <c r="G10" s="28"/>
      <c r="H10" s="28"/>
      <c r="I10" s="28"/>
      <c r="J10" s="28"/>
      <c r="K10" s="28"/>
      <c r="L10" s="28"/>
      <c r="M10" s="28"/>
      <c r="N10" s="28"/>
    </row>
    <row r="11" customHeight="1" spans="1:6">
      <c r="A11" s="6"/>
      <c r="B11" s="7" t="s">
        <v>767</v>
      </c>
      <c r="C11" s="8" t="s">
        <v>214</v>
      </c>
      <c r="D11" s="9"/>
      <c r="E11" s="10">
        <v>15000</v>
      </c>
      <c r="F11" s="11">
        <f t="shared" si="0"/>
        <v>13889.83</v>
      </c>
    </row>
    <row r="12" customHeight="1" spans="1:14">
      <c r="A12" s="6"/>
      <c r="B12" s="7" t="s">
        <v>1113</v>
      </c>
      <c r="C12" s="8" t="s">
        <v>224</v>
      </c>
      <c r="D12" s="9"/>
      <c r="E12" s="10">
        <v>20</v>
      </c>
      <c r="F12" s="11">
        <f t="shared" si="0"/>
        <v>13869.83</v>
      </c>
      <c r="G12" s="20"/>
      <c r="H12" s="20"/>
      <c r="I12" s="15"/>
      <c r="J12" s="20"/>
      <c r="K12" s="20"/>
      <c r="L12" s="20"/>
      <c r="M12" s="20"/>
      <c r="N12" s="20"/>
    </row>
    <row r="13" customHeight="1" spans="1:14">
      <c r="A13" s="6" t="s">
        <v>1114</v>
      </c>
      <c r="B13" s="7" t="s">
        <v>687</v>
      </c>
      <c r="C13" s="8" t="s">
        <v>214</v>
      </c>
      <c r="D13" s="9"/>
      <c r="E13" s="10">
        <v>195</v>
      </c>
      <c r="F13" s="11">
        <f t="shared" si="0"/>
        <v>13674.83</v>
      </c>
      <c r="G13" s="11"/>
      <c r="H13" s="20"/>
      <c r="I13" s="15"/>
      <c r="J13" s="20"/>
      <c r="K13" s="20"/>
      <c r="L13" s="20"/>
      <c r="M13" s="20"/>
      <c r="N13" s="20"/>
    </row>
    <row r="14" customHeight="1" spans="1:14">
      <c r="A14" s="6"/>
      <c r="B14" s="7" t="s">
        <v>1113</v>
      </c>
      <c r="C14" s="8" t="s">
        <v>224</v>
      </c>
      <c r="D14" s="9"/>
      <c r="E14" s="10">
        <v>20</v>
      </c>
      <c r="F14" s="11">
        <f t="shared" si="0"/>
        <v>13654.83</v>
      </c>
      <c r="G14" s="15"/>
      <c r="H14" s="15"/>
      <c r="I14" s="15"/>
      <c r="J14" s="15"/>
      <c r="K14" s="15"/>
      <c r="L14" s="15"/>
      <c r="M14" s="15"/>
      <c r="N14" s="15"/>
    </row>
    <row r="15" customHeight="1" spans="1:14">
      <c r="A15" s="6"/>
      <c r="B15" s="7" t="s">
        <v>659</v>
      </c>
      <c r="C15" s="8" t="s">
        <v>201</v>
      </c>
      <c r="D15" s="9"/>
      <c r="E15" s="10">
        <v>200</v>
      </c>
      <c r="F15" s="11">
        <f t="shared" si="0"/>
        <v>13454.83</v>
      </c>
      <c r="G15" s="20"/>
      <c r="H15" s="20"/>
      <c r="I15" s="20"/>
      <c r="J15" s="20"/>
      <c r="K15" s="20"/>
      <c r="L15" s="20"/>
      <c r="M15" s="20"/>
      <c r="N15" s="20"/>
    </row>
    <row r="16" customHeight="1" spans="1:14">
      <c r="A16" s="6"/>
      <c r="B16" s="16" t="s">
        <v>1115</v>
      </c>
      <c r="C16" s="17" t="s">
        <v>27</v>
      </c>
      <c r="D16" s="18"/>
      <c r="E16" s="19">
        <v>217</v>
      </c>
      <c r="F16" s="11">
        <f t="shared" si="0"/>
        <v>13237.83</v>
      </c>
      <c r="G16" s="20"/>
      <c r="H16" s="20"/>
      <c r="J16" s="20"/>
      <c r="K16" s="20"/>
      <c r="L16" s="20"/>
      <c r="M16" s="20"/>
      <c r="N16" s="20"/>
    </row>
    <row r="17" customHeight="1" spans="1:14">
      <c r="A17" s="6" t="s">
        <v>1116</v>
      </c>
      <c r="B17" s="7" t="s">
        <v>1117</v>
      </c>
      <c r="C17" s="8" t="s">
        <v>27</v>
      </c>
      <c r="D17" s="9"/>
      <c r="E17" s="10">
        <v>160</v>
      </c>
      <c r="F17" s="11">
        <f t="shared" si="0"/>
        <v>13077.83</v>
      </c>
      <c r="G17" s="11"/>
      <c r="H17" s="20"/>
      <c r="J17" s="20"/>
      <c r="K17" s="20"/>
      <c r="L17" s="20"/>
      <c r="M17" s="20"/>
      <c r="N17" s="20"/>
    </row>
    <row r="18" customHeight="1" spans="1:14">
      <c r="A18" s="6"/>
      <c r="B18" s="7" t="s">
        <v>1118</v>
      </c>
      <c r="C18" s="8" t="s">
        <v>27</v>
      </c>
      <c r="D18" s="9"/>
      <c r="E18" s="10">
        <v>532</v>
      </c>
      <c r="F18" s="11">
        <f t="shared" si="0"/>
        <v>12545.83</v>
      </c>
      <c r="G18" s="11"/>
      <c r="H18" s="20"/>
      <c r="J18" s="20"/>
      <c r="K18" s="20"/>
      <c r="L18" s="20"/>
      <c r="M18" s="20"/>
      <c r="N18" s="20"/>
    </row>
    <row r="19" customHeight="1" spans="1:14">
      <c r="A19" s="6"/>
      <c r="B19" s="16" t="s">
        <v>1119</v>
      </c>
      <c r="C19" s="17" t="s">
        <v>27</v>
      </c>
      <c r="D19" s="18"/>
      <c r="E19" s="19">
        <v>294</v>
      </c>
      <c r="F19" s="11">
        <f t="shared" si="0"/>
        <v>12251.83</v>
      </c>
      <c r="G19" s="20"/>
      <c r="H19" s="20"/>
      <c r="J19" s="20"/>
      <c r="K19" s="20"/>
      <c r="L19" s="20"/>
      <c r="M19" s="20"/>
      <c r="N19" s="20"/>
    </row>
    <row r="20" customHeight="1" spans="1:14">
      <c r="A20" s="6"/>
      <c r="B20" s="16" t="s">
        <v>1120</v>
      </c>
      <c r="C20" s="17" t="s">
        <v>214</v>
      </c>
      <c r="D20" s="18"/>
      <c r="E20" s="19">
        <v>381.9</v>
      </c>
      <c r="F20" s="11">
        <f t="shared" si="0"/>
        <v>11869.93</v>
      </c>
      <c r="G20" s="15"/>
      <c r="H20" s="15"/>
      <c r="I20" s="15"/>
      <c r="J20" s="15"/>
      <c r="K20" s="15"/>
      <c r="L20" s="15"/>
      <c r="M20" s="15"/>
      <c r="N20" s="15"/>
    </row>
    <row r="21" customHeight="1" spans="1:6">
      <c r="A21" s="6" t="s">
        <v>1121</v>
      </c>
      <c r="B21" s="7" t="s">
        <v>570</v>
      </c>
      <c r="C21" s="8" t="s">
        <v>214</v>
      </c>
      <c r="D21" s="9"/>
      <c r="E21" s="10">
        <v>380</v>
      </c>
      <c r="F21" s="11">
        <f t="shared" si="0"/>
        <v>11489.93</v>
      </c>
    </row>
    <row r="22" customHeight="1" spans="1:6">
      <c r="A22" s="6"/>
      <c r="B22" s="7" t="s">
        <v>1122</v>
      </c>
      <c r="C22" s="8" t="s">
        <v>214</v>
      </c>
      <c r="D22" s="9"/>
      <c r="E22" s="10">
        <v>1000</v>
      </c>
      <c r="F22" s="11">
        <f t="shared" si="0"/>
        <v>10489.93</v>
      </c>
    </row>
    <row r="23" customHeight="1" spans="1:14">
      <c r="A23" s="6"/>
      <c r="B23" s="7" t="s">
        <v>1113</v>
      </c>
      <c r="C23" s="8" t="s">
        <v>224</v>
      </c>
      <c r="D23" s="9"/>
      <c r="E23" s="10">
        <v>20</v>
      </c>
      <c r="F23" s="11">
        <f t="shared" si="0"/>
        <v>10469.93</v>
      </c>
      <c r="G23" s="15"/>
      <c r="H23" s="15"/>
      <c r="I23" s="15"/>
      <c r="J23" s="15"/>
      <c r="K23" s="15"/>
      <c r="L23" s="15"/>
      <c r="M23" s="15"/>
      <c r="N23" s="15"/>
    </row>
    <row r="24" customHeight="1" spans="1:14">
      <c r="A24" s="6"/>
      <c r="B24" s="16" t="s">
        <v>1123</v>
      </c>
      <c r="C24" s="17" t="s">
        <v>224</v>
      </c>
      <c r="D24" s="18"/>
      <c r="E24" s="19">
        <v>161</v>
      </c>
      <c r="F24" s="11">
        <f t="shared" si="0"/>
        <v>10308.93</v>
      </c>
      <c r="G24" s="20">
        <f>G25-F25</f>
        <v>0</v>
      </c>
      <c r="H24" s="20"/>
      <c r="J24" s="20"/>
      <c r="K24" s="20"/>
      <c r="L24" s="20"/>
      <c r="M24" s="20"/>
      <c r="N24" s="20"/>
    </row>
    <row r="25" customHeight="1" spans="1:14">
      <c r="A25" s="6"/>
      <c r="B25" s="16" t="s">
        <v>940</v>
      </c>
      <c r="C25" s="17"/>
      <c r="D25" s="18">
        <v>1</v>
      </c>
      <c r="E25" s="19"/>
      <c r="F25" s="11">
        <f t="shared" si="0"/>
        <v>10309.93</v>
      </c>
      <c r="G25" s="11">
        <f>H25+I25+J25+K25+L25+M25+N25</f>
        <v>10309.93</v>
      </c>
      <c r="H25" s="21">
        <v>510.5</v>
      </c>
      <c r="I25" s="34">
        <v>4236.7</v>
      </c>
      <c r="J25" s="21">
        <f>1000-728</f>
        <v>272</v>
      </c>
      <c r="K25" s="20">
        <v>0</v>
      </c>
      <c r="L25" s="20">
        <v>5040.73</v>
      </c>
      <c r="M25" s="20">
        <v>0</v>
      </c>
      <c r="N25" s="21">
        <v>250</v>
      </c>
    </row>
    <row r="26" customHeight="1" spans="1:14">
      <c r="A26" s="22" t="s">
        <v>1124</v>
      </c>
      <c r="B26" s="23" t="s">
        <v>34</v>
      </c>
      <c r="C26" s="24" t="s">
        <v>224</v>
      </c>
      <c r="D26" s="25"/>
      <c r="E26" s="26">
        <f>531-317</f>
        <v>214</v>
      </c>
      <c r="F26" s="27">
        <f t="shared" si="0"/>
        <v>10095.93</v>
      </c>
      <c r="G26" s="28"/>
      <c r="H26" s="28"/>
      <c r="I26" s="28"/>
      <c r="J26" s="28"/>
      <c r="K26" s="28"/>
      <c r="L26" s="28"/>
      <c r="M26" s="28"/>
      <c r="N26" s="28"/>
    </row>
    <row r="27" customHeight="1" spans="1:6">
      <c r="A27" s="6"/>
      <c r="B27" s="7" t="s">
        <v>1125</v>
      </c>
      <c r="C27" s="8" t="s">
        <v>27</v>
      </c>
      <c r="D27" s="9"/>
      <c r="E27" s="10">
        <v>317</v>
      </c>
      <c r="F27" s="11">
        <f t="shared" si="0"/>
        <v>9778.93</v>
      </c>
    </row>
    <row r="28" customHeight="1" spans="1:14">
      <c r="A28" s="6" t="s">
        <v>1126</v>
      </c>
      <c r="B28" s="16" t="s">
        <v>1127</v>
      </c>
      <c r="C28" s="17" t="s">
        <v>27</v>
      </c>
      <c r="D28" s="18"/>
      <c r="E28" s="19">
        <f>431-28-28</f>
        <v>375</v>
      </c>
      <c r="F28" s="11">
        <f t="shared" si="0"/>
        <v>9403.93</v>
      </c>
      <c r="G28" s="15"/>
      <c r="H28" s="15"/>
      <c r="I28" s="15"/>
      <c r="J28" s="15"/>
      <c r="K28" s="15"/>
      <c r="L28" s="15"/>
      <c r="M28" s="15"/>
      <c r="N28" s="15"/>
    </row>
    <row r="29" customHeight="1" spans="1:14">
      <c r="A29" s="6"/>
      <c r="B29" s="16" t="s">
        <v>1128</v>
      </c>
      <c r="C29" s="17" t="s">
        <v>224</v>
      </c>
      <c r="D29" s="18"/>
      <c r="E29" s="19">
        <f>28+28</f>
        <v>56</v>
      </c>
      <c r="F29" s="11">
        <f t="shared" si="0"/>
        <v>9347.93</v>
      </c>
      <c r="G29" s="15"/>
      <c r="H29" s="15"/>
      <c r="I29" s="15"/>
      <c r="J29" s="15"/>
      <c r="K29" s="15"/>
      <c r="L29" s="15"/>
      <c r="M29" s="15"/>
      <c r="N29" s="15"/>
    </row>
    <row r="30" customHeight="1" spans="1:14">
      <c r="A30" s="6"/>
      <c r="B30" s="16" t="s">
        <v>17</v>
      </c>
      <c r="C30" s="17" t="s">
        <v>86</v>
      </c>
      <c r="D30" s="18"/>
      <c r="E30" s="19">
        <v>367</v>
      </c>
      <c r="F30" s="11">
        <f t="shared" si="0"/>
        <v>8980.93</v>
      </c>
      <c r="G30" s="15"/>
      <c r="H30" s="15"/>
      <c r="I30" s="15"/>
      <c r="J30" s="15"/>
      <c r="K30" s="15"/>
      <c r="L30" s="15"/>
      <c r="M30" s="15"/>
      <c r="N30" s="15"/>
    </row>
    <row r="31" customHeight="1" spans="1:14">
      <c r="A31" s="6"/>
      <c r="B31" s="16" t="s">
        <v>307</v>
      </c>
      <c r="C31" s="17" t="s">
        <v>86</v>
      </c>
      <c r="D31" s="18"/>
      <c r="E31" s="19">
        <v>267</v>
      </c>
      <c r="F31" s="11">
        <f t="shared" si="0"/>
        <v>8713.93</v>
      </c>
      <c r="G31" s="15"/>
      <c r="H31" s="15"/>
      <c r="I31" s="15"/>
      <c r="J31" s="15"/>
      <c r="K31" s="15"/>
      <c r="L31" s="15"/>
      <c r="M31" s="15"/>
      <c r="N31" s="15"/>
    </row>
    <row r="32" customHeight="1" spans="1:14">
      <c r="A32" s="6" t="s">
        <v>1129</v>
      </c>
      <c r="B32" s="16" t="s">
        <v>17</v>
      </c>
      <c r="C32" s="17" t="s">
        <v>86</v>
      </c>
      <c r="D32" s="18"/>
      <c r="E32" s="19">
        <v>278</v>
      </c>
      <c r="F32" s="11">
        <f t="shared" si="0"/>
        <v>8435.93</v>
      </c>
      <c r="G32" s="15"/>
      <c r="H32" s="15"/>
      <c r="I32" s="15"/>
      <c r="J32" s="15"/>
      <c r="K32" s="15"/>
      <c r="L32" s="15"/>
      <c r="M32" s="15"/>
      <c r="N32" s="15"/>
    </row>
    <row r="33" customHeight="1" spans="1:14">
      <c r="A33" s="6"/>
      <c r="B33" s="16" t="s">
        <v>1130</v>
      </c>
      <c r="C33" s="17" t="s">
        <v>27</v>
      </c>
      <c r="D33" s="18"/>
      <c r="E33" s="19">
        <f>584-69</f>
        <v>515</v>
      </c>
      <c r="F33" s="11">
        <f t="shared" si="0"/>
        <v>7920.93</v>
      </c>
      <c r="G33" s="15"/>
      <c r="H33" s="15"/>
      <c r="I33" s="15"/>
      <c r="J33" s="15"/>
      <c r="K33" s="15"/>
      <c r="L33" s="15"/>
      <c r="M33" s="15"/>
      <c r="N33" s="15"/>
    </row>
    <row r="34" customHeight="1" spans="1:14">
      <c r="A34" s="6"/>
      <c r="B34" s="16" t="s">
        <v>1131</v>
      </c>
      <c r="C34" s="17" t="s">
        <v>27</v>
      </c>
      <c r="D34" s="18"/>
      <c r="E34" s="19">
        <v>69</v>
      </c>
      <c r="F34" s="11">
        <f t="shared" si="0"/>
        <v>7851.93</v>
      </c>
      <c r="G34" s="15"/>
      <c r="H34" s="15"/>
      <c r="I34" s="15"/>
      <c r="J34" s="15"/>
      <c r="K34" s="15"/>
      <c r="L34" s="15"/>
      <c r="M34" s="15"/>
      <c r="N34" s="15"/>
    </row>
    <row r="35" customHeight="1" spans="1:14">
      <c r="A35" s="6"/>
      <c r="B35" s="7" t="s">
        <v>1132</v>
      </c>
      <c r="C35" s="8" t="s">
        <v>219</v>
      </c>
      <c r="D35" s="9"/>
      <c r="E35" s="10">
        <v>200</v>
      </c>
      <c r="F35" s="11">
        <f t="shared" si="0"/>
        <v>7651.93</v>
      </c>
      <c r="G35" s="15"/>
      <c r="H35" s="15"/>
      <c r="I35" s="15"/>
      <c r="J35" s="15"/>
      <c r="K35" s="15"/>
      <c r="L35" s="15"/>
      <c r="M35" s="15"/>
      <c r="N35" s="15"/>
    </row>
    <row r="36" customHeight="1" spans="1:14">
      <c r="A36" s="6"/>
      <c r="B36" s="7" t="s">
        <v>19</v>
      </c>
      <c r="C36" s="8" t="s">
        <v>27</v>
      </c>
      <c r="D36" s="9"/>
      <c r="E36" s="10">
        <v>60</v>
      </c>
      <c r="F36" s="11">
        <f t="shared" si="0"/>
        <v>7591.93</v>
      </c>
      <c r="G36" s="15"/>
      <c r="H36" s="15"/>
      <c r="I36" s="15"/>
      <c r="J36" s="15"/>
      <c r="K36" s="15"/>
      <c r="L36" s="15"/>
      <c r="M36" s="15"/>
      <c r="N36" s="15"/>
    </row>
    <row r="37" customHeight="1" spans="1:14">
      <c r="A37" s="6"/>
      <c r="B37" s="7" t="s">
        <v>1133</v>
      </c>
      <c r="C37" s="8" t="s">
        <v>214</v>
      </c>
      <c r="D37" s="9"/>
      <c r="E37" s="10">
        <v>504</v>
      </c>
      <c r="F37" s="11">
        <f t="shared" si="0"/>
        <v>7087.93</v>
      </c>
      <c r="G37" s="15"/>
      <c r="H37" s="15"/>
      <c r="I37" s="15"/>
      <c r="J37" s="15"/>
      <c r="K37" s="15"/>
      <c r="L37" s="15"/>
      <c r="M37" s="15"/>
      <c r="N37" s="15"/>
    </row>
    <row r="38" customHeight="1" spans="1:6">
      <c r="A38" s="6" t="s">
        <v>1134</v>
      </c>
      <c r="B38" s="7" t="s">
        <v>1135</v>
      </c>
      <c r="C38" s="8" t="s">
        <v>27</v>
      </c>
      <c r="D38" s="9"/>
      <c r="E38" s="10">
        <v>165.21</v>
      </c>
      <c r="F38" s="11">
        <f t="shared" si="0"/>
        <v>6922.72</v>
      </c>
    </row>
    <row r="39" customHeight="1" spans="1:6">
      <c r="A39" s="6"/>
      <c r="B39" s="7" t="s">
        <v>1136</v>
      </c>
      <c r="C39" s="8" t="s">
        <v>245</v>
      </c>
      <c r="D39" s="9"/>
      <c r="E39" s="10">
        <v>19</v>
      </c>
      <c r="F39" s="11">
        <f t="shared" si="0"/>
        <v>6903.72</v>
      </c>
    </row>
    <row r="40" customHeight="1" spans="1:6">
      <c r="A40" s="6"/>
      <c r="B40" s="7" t="s">
        <v>538</v>
      </c>
      <c r="C40" s="8" t="s">
        <v>224</v>
      </c>
      <c r="D40" s="9"/>
      <c r="E40" s="10">
        <v>142.5</v>
      </c>
      <c r="F40" s="11">
        <f t="shared" si="0"/>
        <v>6761.22</v>
      </c>
    </row>
    <row r="41" customHeight="1" spans="1:14">
      <c r="A41" s="6"/>
      <c r="B41" s="7" t="s">
        <v>1137</v>
      </c>
      <c r="C41" s="8" t="s">
        <v>224</v>
      </c>
      <c r="D41" s="9"/>
      <c r="E41" s="10">
        <v>130.5</v>
      </c>
      <c r="F41" s="11">
        <f t="shared" si="0"/>
        <v>6630.72</v>
      </c>
      <c r="G41" s="20"/>
      <c r="H41" s="20"/>
      <c r="J41" s="20"/>
      <c r="K41" s="20"/>
      <c r="L41" s="20"/>
      <c r="M41" s="20"/>
      <c r="N41" s="20"/>
    </row>
    <row r="42" customHeight="1" spans="1:14">
      <c r="A42" s="6"/>
      <c r="B42" s="7" t="s">
        <v>1138</v>
      </c>
      <c r="C42" s="8" t="s">
        <v>219</v>
      </c>
      <c r="D42" s="9"/>
      <c r="E42" s="10">
        <v>50</v>
      </c>
      <c r="F42" s="11">
        <f t="shared" si="0"/>
        <v>6580.72</v>
      </c>
      <c r="G42" s="11"/>
      <c r="H42" s="20"/>
      <c r="J42" s="20"/>
      <c r="K42" s="20"/>
      <c r="L42" s="20"/>
      <c r="M42" s="20"/>
      <c r="N42" s="20"/>
    </row>
    <row r="43" customHeight="1" spans="1:14">
      <c r="A43" s="6"/>
      <c r="B43" s="7" t="s">
        <v>1139</v>
      </c>
      <c r="C43" s="8"/>
      <c r="D43" s="9">
        <v>10000</v>
      </c>
      <c r="E43" s="10"/>
      <c r="F43" s="11">
        <f t="shared" si="0"/>
        <v>16580.72</v>
      </c>
      <c r="G43" s="15"/>
      <c r="H43" s="15"/>
      <c r="I43" s="15"/>
      <c r="J43" s="15"/>
      <c r="K43" s="15"/>
      <c r="L43" s="15"/>
      <c r="M43" s="15"/>
      <c r="N43" s="15"/>
    </row>
    <row r="44" customHeight="1" spans="1:14">
      <c r="A44" s="6" t="s">
        <v>1140</v>
      </c>
      <c r="B44" s="16" t="s">
        <v>1141</v>
      </c>
      <c r="C44" s="17" t="s">
        <v>27</v>
      </c>
      <c r="D44" s="18"/>
      <c r="E44" s="19">
        <v>151</v>
      </c>
      <c r="F44" s="11">
        <f t="shared" si="0"/>
        <v>16429.72</v>
      </c>
      <c r="G44" s="21"/>
      <c r="H44" s="21"/>
      <c r="I44" s="30"/>
      <c r="J44" s="21"/>
      <c r="K44" s="21"/>
      <c r="L44" s="21"/>
      <c r="M44" s="21"/>
      <c r="N44" s="21"/>
    </row>
    <row r="45" customHeight="1" spans="1:14">
      <c r="A45" s="6" t="s">
        <v>1140</v>
      </c>
      <c r="B45" s="7" t="s">
        <v>1142</v>
      </c>
      <c r="C45" s="8" t="s">
        <v>224</v>
      </c>
      <c r="D45" s="9"/>
      <c r="E45" s="10">
        <v>19</v>
      </c>
      <c r="F45" s="11">
        <f t="shared" si="0"/>
        <v>16410.72</v>
      </c>
      <c r="G45" s="29"/>
      <c r="H45" s="21"/>
      <c r="I45" s="35"/>
      <c r="J45" s="21"/>
      <c r="K45" s="21"/>
      <c r="L45" s="21"/>
      <c r="M45" s="21"/>
      <c r="N45" s="21"/>
    </row>
    <row r="46" customHeight="1" spans="1:14">
      <c r="A46" s="6" t="s">
        <v>1143</v>
      </c>
      <c r="B46" s="16" t="s">
        <v>268</v>
      </c>
      <c r="C46" s="17" t="s">
        <v>86</v>
      </c>
      <c r="D46" s="18"/>
      <c r="E46" s="19">
        <v>382</v>
      </c>
      <c r="F46" s="11">
        <f t="shared" si="0"/>
        <v>16028.72</v>
      </c>
      <c r="G46" s="30"/>
      <c r="H46" s="30"/>
      <c r="I46" s="30"/>
      <c r="J46" s="30"/>
      <c r="K46" s="30"/>
      <c r="L46" s="30"/>
      <c r="M46" s="30"/>
      <c r="N46" s="35"/>
    </row>
    <row r="47" customHeight="1" spans="1:14">
      <c r="A47" s="6"/>
      <c r="B47" s="16" t="s">
        <v>1144</v>
      </c>
      <c r="C47" s="17" t="s">
        <v>27</v>
      </c>
      <c r="D47" s="18"/>
      <c r="E47" s="19">
        <v>154</v>
      </c>
      <c r="F47" s="11">
        <f t="shared" si="0"/>
        <v>15874.72</v>
      </c>
      <c r="G47" s="15"/>
      <c r="H47" s="15"/>
      <c r="I47" s="15"/>
      <c r="J47" s="15"/>
      <c r="K47" s="15"/>
      <c r="L47" s="15"/>
      <c r="M47" s="15"/>
      <c r="N47" s="15"/>
    </row>
    <row r="48" customHeight="1" spans="1:14">
      <c r="A48" s="6"/>
      <c r="B48" s="16" t="s">
        <v>1145</v>
      </c>
      <c r="C48" s="17" t="s">
        <v>27</v>
      </c>
      <c r="D48" s="18"/>
      <c r="E48" s="19">
        <v>212</v>
      </c>
      <c r="F48" s="11">
        <f t="shared" si="0"/>
        <v>15662.72</v>
      </c>
      <c r="G48" s="21"/>
      <c r="H48" s="21"/>
      <c r="I48" s="30"/>
      <c r="J48" s="21"/>
      <c r="K48" s="21"/>
      <c r="L48" s="21"/>
      <c r="M48" s="21"/>
      <c r="N48" s="21"/>
    </row>
    <row r="49" customHeight="1" spans="1:14">
      <c r="A49" s="6" t="s">
        <v>1146</v>
      </c>
      <c r="B49" s="7" t="s">
        <v>623</v>
      </c>
      <c r="C49" s="8" t="s">
        <v>245</v>
      </c>
      <c r="D49" s="9"/>
      <c r="E49" s="10">
        <v>74</v>
      </c>
      <c r="F49" s="11">
        <f t="shared" si="0"/>
        <v>15588.72</v>
      </c>
      <c r="G49" s="29"/>
      <c r="H49" s="21"/>
      <c r="I49" s="35"/>
      <c r="J49" s="21"/>
      <c r="K49" s="21"/>
      <c r="L49" s="21"/>
      <c r="M49" s="21"/>
      <c r="N49" s="21"/>
    </row>
    <row r="50" customHeight="1" spans="1:14">
      <c r="A50" s="6"/>
      <c r="B50" s="7" t="s">
        <v>798</v>
      </c>
      <c r="C50" s="8" t="s">
        <v>219</v>
      </c>
      <c r="D50" s="9"/>
      <c r="E50" s="10">
        <v>500</v>
      </c>
      <c r="F50" s="11">
        <f t="shared" si="0"/>
        <v>15088.72</v>
      </c>
      <c r="G50" s="29"/>
      <c r="H50" s="21"/>
      <c r="I50" s="35"/>
      <c r="J50" s="21"/>
      <c r="K50" s="21"/>
      <c r="L50" s="21"/>
      <c r="M50" s="21"/>
      <c r="N50" s="21"/>
    </row>
    <row r="51" customHeight="1" spans="1:14">
      <c r="A51" s="6" t="s">
        <v>1147</v>
      </c>
      <c r="B51" s="16" t="s">
        <v>1148</v>
      </c>
      <c r="C51" s="17" t="s">
        <v>27</v>
      </c>
      <c r="D51" s="18"/>
      <c r="E51" s="19">
        <v>181</v>
      </c>
      <c r="F51" s="11">
        <f t="shared" si="0"/>
        <v>14907.72</v>
      </c>
      <c r="G51" s="29"/>
      <c r="H51" s="21"/>
      <c r="I51" s="35"/>
      <c r="J51" s="21"/>
      <c r="K51" s="21"/>
      <c r="L51" s="21"/>
      <c r="M51" s="21"/>
      <c r="N51" s="21"/>
    </row>
    <row r="52" customHeight="1" spans="1:14">
      <c r="A52" s="6"/>
      <c r="B52" s="16" t="s">
        <v>1149</v>
      </c>
      <c r="C52" s="17" t="s">
        <v>27</v>
      </c>
      <c r="D52" s="18"/>
      <c r="E52" s="19">
        <v>41</v>
      </c>
      <c r="F52" s="11">
        <f t="shared" si="0"/>
        <v>14866.72</v>
      </c>
      <c r="G52" s="20"/>
      <c r="H52" s="20"/>
      <c r="J52" s="20"/>
      <c r="K52" s="20"/>
      <c r="L52" s="20"/>
      <c r="M52" s="20"/>
      <c r="N52" s="20"/>
    </row>
    <row r="53" customHeight="1" spans="1:14">
      <c r="A53" s="6"/>
      <c r="B53" s="16" t="s">
        <v>1150</v>
      </c>
      <c r="C53" s="17" t="s">
        <v>224</v>
      </c>
      <c r="D53" s="18"/>
      <c r="E53" s="19">
        <f>158-E52</f>
        <v>117</v>
      </c>
      <c r="F53" s="11">
        <f t="shared" si="0"/>
        <v>14749.72</v>
      </c>
      <c r="G53" s="20"/>
      <c r="H53" s="20"/>
      <c r="J53" s="20"/>
      <c r="K53" s="20"/>
      <c r="L53" s="20"/>
      <c r="M53" s="20"/>
      <c r="N53" s="20"/>
    </row>
    <row r="54" customHeight="1" spans="1:14">
      <c r="A54" s="6"/>
      <c r="B54" s="16" t="s">
        <v>542</v>
      </c>
      <c r="C54" s="17" t="s">
        <v>214</v>
      </c>
      <c r="D54" s="18"/>
      <c r="E54" s="19">
        <v>75</v>
      </c>
      <c r="F54" s="11">
        <f t="shared" si="0"/>
        <v>14674.72</v>
      </c>
      <c r="G54" s="11"/>
      <c r="H54" s="21"/>
      <c r="I54" s="34"/>
      <c r="J54" s="21"/>
      <c r="K54" s="20"/>
      <c r="L54" s="20"/>
      <c r="M54" s="20"/>
      <c r="N54" s="21"/>
    </row>
    <row r="55" customHeight="1" spans="1:14">
      <c r="A55" s="6"/>
      <c r="B55" s="16" t="s">
        <v>328</v>
      </c>
      <c r="C55" s="17" t="s">
        <v>224</v>
      </c>
      <c r="D55" s="18"/>
      <c r="E55" s="19">
        <f>245-E56</f>
        <v>101</v>
      </c>
      <c r="F55" s="11">
        <f t="shared" si="0"/>
        <v>14573.72</v>
      </c>
      <c r="G55" s="11"/>
      <c r="H55" s="20"/>
      <c r="J55" s="20"/>
      <c r="K55" s="20"/>
      <c r="L55" s="20"/>
      <c r="M55" s="20"/>
      <c r="N55" s="20"/>
    </row>
    <row r="56" customHeight="1" spans="1:14">
      <c r="A56" s="6"/>
      <c r="B56" s="16" t="s">
        <v>1151</v>
      </c>
      <c r="C56" s="17" t="s">
        <v>27</v>
      </c>
      <c r="D56" s="18"/>
      <c r="E56" s="19">
        <f>122+22</f>
        <v>144</v>
      </c>
      <c r="F56" s="11">
        <f t="shared" si="0"/>
        <v>14429.72</v>
      </c>
      <c r="G56" s="20"/>
      <c r="H56" s="20"/>
      <c r="J56" s="20"/>
      <c r="K56" s="20"/>
      <c r="L56" s="20"/>
      <c r="M56" s="20"/>
      <c r="N56" s="20"/>
    </row>
    <row r="57" customHeight="1" spans="1:14">
      <c r="A57" s="6"/>
      <c r="B57" s="7" t="s">
        <v>792</v>
      </c>
      <c r="C57" s="8" t="s">
        <v>201</v>
      </c>
      <c r="D57" s="9"/>
      <c r="E57" s="10">
        <v>200</v>
      </c>
      <c r="F57" s="11">
        <f t="shared" si="0"/>
        <v>14229.72</v>
      </c>
      <c r="G57" s="20">
        <f>G58-F58</f>
        <v>0</v>
      </c>
      <c r="H57" s="20"/>
      <c r="J57" s="20"/>
      <c r="K57" s="20"/>
      <c r="L57" s="20"/>
      <c r="M57" s="20"/>
      <c r="N57" s="20"/>
    </row>
    <row r="58" customHeight="1" spans="1:14">
      <c r="A58" s="6"/>
      <c r="B58" s="7"/>
      <c r="C58" s="8"/>
      <c r="D58" s="9"/>
      <c r="E58" s="10">
        <v>2100.3</v>
      </c>
      <c r="F58" s="11">
        <f t="shared" si="0"/>
        <v>12129.42</v>
      </c>
      <c r="G58" s="11">
        <f>H58+I58+J58+K58+L58+M58+N58</f>
        <v>12129.42</v>
      </c>
      <c r="H58" s="21">
        <v>0</v>
      </c>
      <c r="I58" s="34">
        <v>5751.7</v>
      </c>
      <c r="J58" s="21">
        <v>0</v>
      </c>
      <c r="K58" s="20">
        <v>0</v>
      </c>
      <c r="L58" s="20">
        <v>4077.72</v>
      </c>
      <c r="M58" s="20">
        <v>0</v>
      </c>
      <c r="N58" s="21">
        <f>2000+300</f>
        <v>2300</v>
      </c>
    </row>
    <row r="59" customHeight="1" spans="1:14">
      <c r="A59" s="22" t="s">
        <v>1152</v>
      </c>
      <c r="B59" s="23" t="s">
        <v>1153</v>
      </c>
      <c r="C59" s="24" t="s">
        <v>224</v>
      </c>
      <c r="D59" s="25"/>
      <c r="E59" s="26">
        <f>307-30</f>
        <v>277</v>
      </c>
      <c r="F59" s="27">
        <f t="shared" si="0"/>
        <v>11852.42</v>
      </c>
      <c r="G59" s="28"/>
      <c r="H59" s="28"/>
      <c r="I59" s="28"/>
      <c r="J59" s="28"/>
      <c r="K59" s="28"/>
      <c r="L59" s="28"/>
      <c r="M59" s="28"/>
      <c r="N59" s="28"/>
    </row>
    <row r="60" customHeight="1" spans="1:6">
      <c r="A60" s="6"/>
      <c r="B60" s="7" t="s">
        <v>305</v>
      </c>
      <c r="C60" s="8" t="s">
        <v>27</v>
      </c>
      <c r="D60" s="9"/>
      <c r="E60" s="10">
        <v>30</v>
      </c>
      <c r="F60" s="11">
        <f t="shared" si="0"/>
        <v>11822.42</v>
      </c>
    </row>
    <row r="61" customHeight="1" spans="1:14">
      <c r="A61" s="6"/>
      <c r="B61" s="7" t="s">
        <v>1154</v>
      </c>
      <c r="C61" s="8" t="s">
        <v>214</v>
      </c>
      <c r="D61" s="9"/>
      <c r="E61" s="10">
        <v>250</v>
      </c>
      <c r="F61" s="11">
        <f t="shared" si="0"/>
        <v>11572.42</v>
      </c>
      <c r="G61" s="20"/>
      <c r="H61" s="15"/>
      <c r="I61" s="13"/>
      <c r="J61" s="15"/>
      <c r="K61" s="15"/>
      <c r="L61" s="20"/>
      <c r="M61" s="15"/>
      <c r="N61" s="15"/>
    </row>
    <row r="62" customHeight="1" spans="1:14">
      <c r="A62" s="6"/>
      <c r="B62" s="7" t="s">
        <v>270</v>
      </c>
      <c r="C62" s="8" t="s">
        <v>86</v>
      </c>
      <c r="D62" s="9"/>
      <c r="E62" s="10">
        <v>50</v>
      </c>
      <c r="F62" s="11">
        <f t="shared" si="0"/>
        <v>11522.42</v>
      </c>
      <c r="G62" s="21"/>
      <c r="H62" s="21"/>
      <c r="I62" s="30"/>
      <c r="J62" s="21"/>
      <c r="K62" s="21"/>
      <c r="L62" s="21"/>
      <c r="M62" s="21"/>
      <c r="N62" s="21"/>
    </row>
    <row r="63" customHeight="1" spans="1:14">
      <c r="A63" s="6"/>
      <c r="B63" s="16" t="s">
        <v>17</v>
      </c>
      <c r="C63" s="17" t="s">
        <v>86</v>
      </c>
      <c r="D63" s="18"/>
      <c r="E63" s="19">
        <v>182</v>
      </c>
      <c r="F63" s="11">
        <f t="shared" si="0"/>
        <v>11340.42</v>
      </c>
      <c r="G63" s="29"/>
      <c r="H63" s="21"/>
      <c r="I63" s="35"/>
      <c r="J63" s="21"/>
      <c r="K63" s="21"/>
      <c r="L63" s="21"/>
      <c r="M63" s="21"/>
      <c r="N63" s="21"/>
    </row>
    <row r="64" customHeight="1" spans="1:14">
      <c r="A64" s="6"/>
      <c r="B64" s="7" t="s">
        <v>1155</v>
      </c>
      <c r="C64" s="8" t="s">
        <v>54</v>
      </c>
      <c r="D64" s="9"/>
      <c r="E64" s="10">
        <v>50</v>
      </c>
      <c r="F64" s="11">
        <f t="shared" si="0"/>
        <v>11290.42</v>
      </c>
      <c r="G64" s="29"/>
      <c r="H64" s="21"/>
      <c r="I64" s="35"/>
      <c r="J64" s="21"/>
      <c r="K64" s="21"/>
      <c r="L64" s="21"/>
      <c r="M64" s="21"/>
      <c r="N64" s="21"/>
    </row>
    <row r="65" customHeight="1" spans="1:14">
      <c r="A65" s="6" t="s">
        <v>1156</v>
      </c>
      <c r="B65" s="7" t="s">
        <v>1132</v>
      </c>
      <c r="C65" s="8" t="s">
        <v>219</v>
      </c>
      <c r="D65" s="9"/>
      <c r="E65" s="10">
        <v>100</v>
      </c>
      <c r="F65" s="11">
        <f t="shared" si="0"/>
        <v>11190.42</v>
      </c>
      <c r="G65" s="30"/>
      <c r="H65" s="30"/>
      <c r="I65" s="30"/>
      <c r="J65" s="30"/>
      <c r="K65" s="30"/>
      <c r="L65" s="30"/>
      <c r="M65" s="30"/>
      <c r="N65" s="35"/>
    </row>
    <row r="66" customHeight="1" spans="1:14">
      <c r="A66" s="6"/>
      <c r="B66" s="7" t="s">
        <v>375</v>
      </c>
      <c r="C66" s="8" t="s">
        <v>86</v>
      </c>
      <c r="D66" s="9"/>
      <c r="E66" s="10">
        <v>240</v>
      </c>
      <c r="F66" s="11">
        <f t="shared" si="0"/>
        <v>10950.42</v>
      </c>
      <c r="G66" s="20"/>
      <c r="H66" s="20"/>
      <c r="I66" s="20"/>
      <c r="J66" s="20"/>
      <c r="K66" s="20"/>
      <c r="L66" s="20"/>
      <c r="M66" s="20"/>
      <c r="N66" s="20"/>
    </row>
    <row r="67" customHeight="1" spans="1:14">
      <c r="A67" s="6"/>
      <c r="B67" s="7" t="s">
        <v>627</v>
      </c>
      <c r="C67" s="8" t="s">
        <v>27</v>
      </c>
      <c r="D67" s="9"/>
      <c r="E67" s="10">
        <v>1132.89</v>
      </c>
      <c r="F67" s="11">
        <f t="shared" si="0"/>
        <v>9817.53</v>
      </c>
      <c r="G67" s="21"/>
      <c r="H67" s="21"/>
      <c r="I67" s="30"/>
      <c r="J67" s="21"/>
      <c r="K67" s="21"/>
      <c r="L67" s="21"/>
      <c r="M67" s="21"/>
      <c r="N67" s="21"/>
    </row>
    <row r="68" customHeight="1" spans="1:14">
      <c r="A68" s="6" t="s">
        <v>1157</v>
      </c>
      <c r="B68" s="7" t="s">
        <v>331</v>
      </c>
      <c r="C68" s="8" t="s">
        <v>27</v>
      </c>
      <c r="D68" s="9"/>
      <c r="E68" s="10">
        <v>60</v>
      </c>
      <c r="F68" s="11">
        <f t="shared" si="0"/>
        <v>9757.53</v>
      </c>
      <c r="G68" s="29"/>
      <c r="H68" s="21"/>
      <c r="I68" s="35"/>
      <c r="J68" s="21"/>
      <c r="K68" s="21"/>
      <c r="L68" s="21"/>
      <c r="M68" s="21"/>
      <c r="N68" s="21"/>
    </row>
    <row r="69" customHeight="1" spans="1:14">
      <c r="A69" s="6"/>
      <c r="B69" s="7" t="s">
        <v>544</v>
      </c>
      <c r="C69" s="8" t="s">
        <v>201</v>
      </c>
      <c r="D69" s="9"/>
      <c r="E69" s="10">
        <v>210</v>
      </c>
      <c r="F69" s="11">
        <f t="shared" si="0"/>
        <v>9547.53</v>
      </c>
      <c r="G69" s="20">
        <f>G70-F70</f>
        <v>181.999999999996</v>
      </c>
      <c r="H69" s="20"/>
      <c r="J69" s="20"/>
      <c r="K69" s="20"/>
      <c r="L69" s="20"/>
      <c r="M69" s="20"/>
      <c r="N69" s="20"/>
    </row>
    <row r="70" customHeight="1" spans="1:14">
      <c r="A70" s="6"/>
      <c r="B70" s="7" t="s">
        <v>1158</v>
      </c>
      <c r="C70" s="8" t="s">
        <v>27</v>
      </c>
      <c r="D70" s="9"/>
      <c r="E70" s="10">
        <v>141</v>
      </c>
      <c r="F70" s="11">
        <f t="shared" si="0"/>
        <v>9406.53</v>
      </c>
      <c r="G70" s="11">
        <f>H70+I70+J70+K70+L70+M70+N70</f>
        <v>9588.53</v>
      </c>
      <c r="H70" s="21">
        <v>0</v>
      </c>
      <c r="I70" s="34">
        <v>5751.7</v>
      </c>
      <c r="J70" s="21">
        <v>0</v>
      </c>
      <c r="K70" s="20">
        <v>0</v>
      </c>
      <c r="L70" s="20">
        <v>2023.83</v>
      </c>
      <c r="M70" s="20">
        <v>0</v>
      </c>
      <c r="N70" s="21">
        <f>1500+200+100+13</f>
        <v>1813</v>
      </c>
    </row>
    <row r="71" customHeight="1" spans="1:14">
      <c r="A71" s="6"/>
      <c r="B71" s="16" t="s">
        <v>17</v>
      </c>
      <c r="C71" s="17" t="s">
        <v>86</v>
      </c>
      <c r="D71" s="18"/>
      <c r="E71" s="19">
        <v>184</v>
      </c>
      <c r="F71" s="11">
        <f t="shared" si="0"/>
        <v>9222.53</v>
      </c>
      <c r="G71" s="11"/>
      <c r="H71" s="21"/>
      <c r="I71" s="34"/>
      <c r="J71" s="21"/>
      <c r="K71" s="20"/>
      <c r="L71" s="20"/>
      <c r="M71" s="20"/>
      <c r="N71" s="21"/>
    </row>
    <row r="72" customHeight="1" spans="1:14">
      <c r="A72" s="6"/>
      <c r="B72" s="16" t="s">
        <v>1159</v>
      </c>
      <c r="C72" s="17" t="s">
        <v>27</v>
      </c>
      <c r="D72" s="18"/>
      <c r="E72" s="19">
        <f>310.95-E73</f>
        <v>251.95</v>
      </c>
      <c r="F72" s="11">
        <f t="shared" si="0"/>
        <v>8970.58</v>
      </c>
      <c r="G72" s="11"/>
      <c r="H72" s="21"/>
      <c r="I72" s="34"/>
      <c r="J72" s="21"/>
      <c r="K72" s="20"/>
      <c r="L72" s="20"/>
      <c r="M72" s="20"/>
      <c r="N72" s="21"/>
    </row>
    <row r="73" customHeight="1" spans="1:14">
      <c r="A73" s="6"/>
      <c r="B73" s="16" t="s">
        <v>1160</v>
      </c>
      <c r="C73" s="17" t="s">
        <v>224</v>
      </c>
      <c r="D73" s="18"/>
      <c r="E73" s="19">
        <v>59</v>
      </c>
      <c r="F73" s="11">
        <f t="shared" si="0"/>
        <v>8911.58</v>
      </c>
      <c r="G73" s="11"/>
      <c r="H73" s="21"/>
      <c r="I73" s="34"/>
      <c r="J73" s="21"/>
      <c r="K73" s="20"/>
      <c r="L73" s="20"/>
      <c r="M73" s="20"/>
      <c r="N73" s="21"/>
    </row>
    <row r="74" customHeight="1" spans="1:14">
      <c r="A74" s="6" t="s">
        <v>1161</v>
      </c>
      <c r="B74" s="16" t="s">
        <v>1162</v>
      </c>
      <c r="C74" s="17" t="s">
        <v>27</v>
      </c>
      <c r="D74" s="18"/>
      <c r="E74" s="19">
        <v>167</v>
      </c>
      <c r="F74" s="11">
        <f t="shared" si="0"/>
        <v>8744.58</v>
      </c>
      <c r="G74" s="11"/>
      <c r="H74" s="21"/>
      <c r="I74" s="34"/>
      <c r="J74" s="21"/>
      <c r="K74" s="20"/>
      <c r="L74" s="20"/>
      <c r="M74" s="20"/>
      <c r="N74" s="21"/>
    </row>
    <row r="75" customHeight="1" spans="1:14">
      <c r="A75" s="6"/>
      <c r="B75" s="16" t="s">
        <v>1163</v>
      </c>
      <c r="C75" s="17" t="s">
        <v>27</v>
      </c>
      <c r="D75" s="18"/>
      <c r="E75" s="19">
        <v>340</v>
      </c>
      <c r="F75" s="11">
        <f t="shared" si="0"/>
        <v>8404.58</v>
      </c>
      <c r="G75" s="11"/>
      <c r="H75" s="21"/>
      <c r="I75" s="34"/>
      <c r="J75" s="21"/>
      <c r="K75" s="20"/>
      <c r="L75" s="20"/>
      <c r="M75" s="20"/>
      <c r="N75" s="21"/>
    </row>
    <row r="76" customHeight="1" spans="1:14">
      <c r="A76" s="6" t="s">
        <v>1164</v>
      </c>
      <c r="B76" s="7" t="s">
        <v>1165</v>
      </c>
      <c r="C76" s="8" t="s">
        <v>27</v>
      </c>
      <c r="D76" s="9"/>
      <c r="E76" s="10">
        <v>226.99</v>
      </c>
      <c r="F76" s="11">
        <f t="shared" si="0"/>
        <v>8177.59</v>
      </c>
      <c r="G76" s="11"/>
      <c r="H76" s="20"/>
      <c r="J76" s="20"/>
      <c r="K76" s="20"/>
      <c r="L76" s="20"/>
      <c r="M76" s="20"/>
      <c r="N76" s="20"/>
    </row>
    <row r="77" customHeight="1" spans="1:14">
      <c r="A77" s="6"/>
      <c r="B77" s="7" t="s">
        <v>1166</v>
      </c>
      <c r="C77" s="8" t="s">
        <v>245</v>
      </c>
      <c r="D77" s="9"/>
      <c r="E77" s="10">
        <v>130</v>
      </c>
      <c r="F77" s="11">
        <f t="shared" si="0"/>
        <v>8047.59</v>
      </c>
      <c r="G77" s="21"/>
      <c r="H77" s="21"/>
      <c r="I77" s="30"/>
      <c r="J77" s="21"/>
      <c r="K77" s="21"/>
      <c r="L77" s="21"/>
      <c r="M77" s="21"/>
      <c r="N77" s="21"/>
    </row>
    <row r="78" customHeight="1" spans="1:14">
      <c r="A78" s="36"/>
      <c r="B78" s="16" t="s">
        <v>1167</v>
      </c>
      <c r="C78" s="17" t="s">
        <v>214</v>
      </c>
      <c r="D78" s="18"/>
      <c r="E78" s="19">
        <v>2</v>
      </c>
      <c r="F78" s="11">
        <f t="shared" si="0"/>
        <v>8045.59</v>
      </c>
      <c r="G78" s="29"/>
      <c r="H78" s="21"/>
      <c r="I78" s="35"/>
      <c r="J78" s="21"/>
      <c r="K78" s="21"/>
      <c r="L78" s="21"/>
      <c r="M78" s="21"/>
      <c r="N78" s="21"/>
    </row>
    <row r="79" customHeight="1" spans="1:14">
      <c r="A79" s="6"/>
      <c r="B79" s="7" t="s">
        <v>1168</v>
      </c>
      <c r="C79" s="8" t="s">
        <v>27</v>
      </c>
      <c r="D79" s="9"/>
      <c r="E79" s="10">
        <v>170</v>
      </c>
      <c r="F79" s="11">
        <f t="shared" si="0"/>
        <v>7875.59</v>
      </c>
      <c r="G79" s="29"/>
      <c r="H79" s="21"/>
      <c r="I79" s="35"/>
      <c r="J79" s="21"/>
      <c r="K79" s="21"/>
      <c r="L79" s="21"/>
      <c r="M79" s="21"/>
      <c r="N79" s="21"/>
    </row>
    <row r="80" customHeight="1" spans="1:14">
      <c r="A80" s="6" t="s">
        <v>1169</v>
      </c>
      <c r="B80" s="7" t="s">
        <v>650</v>
      </c>
      <c r="C80" s="8" t="s">
        <v>86</v>
      </c>
      <c r="D80" s="9"/>
      <c r="E80" s="10">
        <v>40</v>
      </c>
      <c r="F80" s="11">
        <f t="shared" si="0"/>
        <v>7835.59</v>
      </c>
      <c r="G80" s="11"/>
      <c r="H80" s="20"/>
      <c r="I80" s="15"/>
      <c r="J80" s="20"/>
      <c r="K80" s="20"/>
      <c r="L80" s="20"/>
      <c r="M80" s="20"/>
      <c r="N80" s="20"/>
    </row>
    <row r="81" customHeight="1" spans="1:14">
      <c r="A81" s="6"/>
      <c r="B81" s="16" t="s">
        <v>940</v>
      </c>
      <c r="C81" s="17"/>
      <c r="D81" s="18">
        <v>2</v>
      </c>
      <c r="E81" s="19"/>
      <c r="F81" s="11">
        <f t="shared" si="0"/>
        <v>7837.59</v>
      </c>
      <c r="G81" s="29"/>
      <c r="H81" s="21"/>
      <c r="I81" s="35"/>
      <c r="J81" s="21"/>
      <c r="K81" s="21"/>
      <c r="L81" s="21"/>
      <c r="M81" s="21"/>
      <c r="N81" s="21"/>
    </row>
    <row r="82" customHeight="1" spans="1:14">
      <c r="A82" s="6" t="s">
        <v>1170</v>
      </c>
      <c r="B82" s="16" t="s">
        <v>1171</v>
      </c>
      <c r="C82" s="17" t="s">
        <v>27</v>
      </c>
      <c r="D82" s="18"/>
      <c r="E82" s="19">
        <f>287-E83</f>
        <v>99</v>
      </c>
      <c r="F82" s="11">
        <f t="shared" si="0"/>
        <v>7738.59</v>
      </c>
      <c r="G82" s="29"/>
      <c r="H82" s="21"/>
      <c r="I82" s="35"/>
      <c r="J82" s="21"/>
      <c r="K82" s="21"/>
      <c r="L82" s="21"/>
      <c r="M82" s="21"/>
      <c r="N82" s="21"/>
    </row>
    <row r="83" customHeight="1" spans="1:14">
      <c r="A83" s="6"/>
      <c r="B83" s="16" t="s">
        <v>1172</v>
      </c>
      <c r="C83" s="17" t="s">
        <v>224</v>
      </c>
      <c r="D83" s="18"/>
      <c r="E83" s="19">
        <f>159+29</f>
        <v>188</v>
      </c>
      <c r="F83" s="11">
        <f t="shared" si="0"/>
        <v>7550.59</v>
      </c>
      <c r="G83" s="29"/>
      <c r="H83" s="21"/>
      <c r="I83" s="35"/>
      <c r="J83" s="21"/>
      <c r="K83" s="21"/>
      <c r="L83" s="21"/>
      <c r="M83" s="21"/>
      <c r="N83" s="21"/>
    </row>
    <row r="84" customHeight="1" spans="1:14">
      <c r="A84" s="6" t="s">
        <v>1173</v>
      </c>
      <c r="B84" s="16" t="s">
        <v>17</v>
      </c>
      <c r="C84" s="17" t="s">
        <v>86</v>
      </c>
      <c r="D84" s="18"/>
      <c r="E84" s="19">
        <v>367</v>
      </c>
      <c r="F84" s="11">
        <f t="shared" si="0"/>
        <v>7183.59</v>
      </c>
      <c r="G84" s="20"/>
      <c r="H84" s="20"/>
      <c r="J84" s="20"/>
      <c r="K84" s="20"/>
      <c r="L84" s="20"/>
      <c r="M84" s="20"/>
      <c r="N84" s="20"/>
    </row>
    <row r="85" customHeight="1" spans="1:14">
      <c r="A85" s="6"/>
      <c r="B85" s="16" t="s">
        <v>1174</v>
      </c>
      <c r="C85" s="17" t="s">
        <v>27</v>
      </c>
      <c r="D85" s="18"/>
      <c r="E85" s="19">
        <v>1848</v>
      </c>
      <c r="F85" s="11">
        <f t="shared" si="0"/>
        <v>5335.59</v>
      </c>
      <c r="G85" s="11"/>
      <c r="H85" s="20"/>
      <c r="I85" s="15"/>
      <c r="J85" s="20"/>
      <c r="K85" s="20"/>
      <c r="L85" s="20"/>
      <c r="M85" s="20"/>
      <c r="N85" s="20"/>
    </row>
    <row r="86" customHeight="1" spans="1:14">
      <c r="A86" s="6"/>
      <c r="B86" s="37" t="s">
        <v>35</v>
      </c>
      <c r="C86" s="8"/>
      <c r="D86" s="9"/>
      <c r="E86" s="10">
        <v>38</v>
      </c>
      <c r="F86" s="11">
        <f t="shared" si="0"/>
        <v>5297.59</v>
      </c>
      <c r="G86" s="20"/>
      <c r="H86" s="20"/>
      <c r="J86" s="20"/>
      <c r="K86" s="20"/>
      <c r="L86" s="20"/>
      <c r="M86" s="20"/>
      <c r="N86" s="20"/>
    </row>
    <row r="87" customHeight="1" spans="1:14">
      <c r="A87" s="6"/>
      <c r="B87" s="16" t="s">
        <v>1175</v>
      </c>
      <c r="C87" s="17" t="s">
        <v>27</v>
      </c>
      <c r="D87" s="18"/>
      <c r="E87" s="19">
        <v>182</v>
      </c>
      <c r="F87" s="11">
        <f t="shared" si="0"/>
        <v>5115.59</v>
      </c>
      <c r="G87" s="20"/>
      <c r="H87" s="20"/>
      <c r="J87" s="20"/>
      <c r="K87" s="20"/>
      <c r="L87" s="20"/>
      <c r="M87" s="20"/>
      <c r="N87" s="20"/>
    </row>
    <row r="88" customHeight="1" spans="1:14">
      <c r="A88" s="6"/>
      <c r="B88" s="16" t="s">
        <v>622</v>
      </c>
      <c r="C88" s="17" t="s">
        <v>27</v>
      </c>
      <c r="D88" s="18"/>
      <c r="E88" s="19">
        <v>52</v>
      </c>
      <c r="F88" s="11">
        <f t="shared" si="0"/>
        <v>5063.59</v>
      </c>
      <c r="G88" s="20"/>
      <c r="H88" s="20"/>
      <c r="J88" s="20"/>
      <c r="K88" s="20"/>
      <c r="L88" s="20"/>
      <c r="M88" s="20"/>
      <c r="N88" s="20"/>
    </row>
    <row r="89" customHeight="1" spans="1:14">
      <c r="A89" s="6"/>
      <c r="B89" s="16" t="s">
        <v>1176</v>
      </c>
      <c r="C89" s="17" t="s">
        <v>224</v>
      </c>
      <c r="D89" s="18"/>
      <c r="E89" s="19">
        <f>207-E88</f>
        <v>155</v>
      </c>
      <c r="F89" s="11">
        <f t="shared" si="0"/>
        <v>4908.59</v>
      </c>
      <c r="G89" s="20"/>
      <c r="H89" s="20"/>
      <c r="J89" s="20"/>
      <c r="K89" s="20"/>
      <c r="L89" s="20"/>
      <c r="M89" s="20"/>
      <c r="N89" s="20"/>
    </row>
    <row r="90" customHeight="1" spans="1:14">
      <c r="A90" s="6"/>
      <c r="B90" s="7" t="s">
        <v>1177</v>
      </c>
      <c r="C90" s="8" t="s">
        <v>214</v>
      </c>
      <c r="D90" s="9"/>
      <c r="E90" s="10">
        <v>150</v>
      </c>
      <c r="F90" s="11">
        <f t="shared" si="0"/>
        <v>4758.59</v>
      </c>
      <c r="G90" s="20">
        <f>G91-F91</f>
        <v>0</v>
      </c>
      <c r="H90" s="20"/>
      <c r="J90" s="20"/>
      <c r="K90" s="20"/>
      <c r="L90" s="20"/>
      <c r="M90" s="20"/>
      <c r="N90" s="20"/>
    </row>
    <row r="91" customHeight="1" spans="1:14">
      <c r="A91" s="6"/>
      <c r="B91" s="7" t="s">
        <v>1178</v>
      </c>
      <c r="C91" s="8" t="s">
        <v>214</v>
      </c>
      <c r="D91" s="9"/>
      <c r="E91" s="10">
        <v>913.32</v>
      </c>
      <c r="F91" s="11">
        <f t="shared" si="0"/>
        <v>3845.27</v>
      </c>
      <c r="G91" s="11">
        <f>H91+I91+J91+K91+L91+M91+N91</f>
        <v>3845.27</v>
      </c>
      <c r="H91" s="21">
        <v>0</v>
      </c>
      <c r="I91" s="34">
        <f>2065.75-1000-389</f>
        <v>676.75</v>
      </c>
      <c r="J91" s="21">
        <v>0</v>
      </c>
      <c r="K91" s="20">
        <v>0</v>
      </c>
      <c r="L91" s="20">
        <v>1393.52</v>
      </c>
      <c r="M91" s="20">
        <v>0</v>
      </c>
      <c r="N91" s="21">
        <f>1500+200+60+15</f>
        <v>1775</v>
      </c>
    </row>
    <row r="92" customHeight="1" spans="1:14">
      <c r="A92" s="22" t="s">
        <v>1179</v>
      </c>
      <c r="B92" s="23"/>
      <c r="C92" s="24" t="s">
        <v>219</v>
      </c>
      <c r="D92" s="25"/>
      <c r="E92" s="26">
        <v>200</v>
      </c>
      <c r="F92" s="27">
        <f t="shared" si="0"/>
        <v>3645.27</v>
      </c>
      <c r="G92" s="27"/>
      <c r="H92" s="38"/>
      <c r="I92" s="63"/>
      <c r="J92" s="38"/>
      <c r="K92" s="38"/>
      <c r="L92" s="38"/>
      <c r="M92" s="38"/>
      <c r="N92" s="38"/>
    </row>
    <row r="93" customHeight="1" spans="1:14">
      <c r="A93" s="6"/>
      <c r="B93" s="7" t="s">
        <v>268</v>
      </c>
      <c r="C93" s="8" t="s">
        <v>86</v>
      </c>
      <c r="D93" s="9"/>
      <c r="E93" s="10">
        <v>420</v>
      </c>
      <c r="F93" s="11">
        <f t="shared" si="0"/>
        <v>3225.27</v>
      </c>
      <c r="G93" s="12"/>
      <c r="H93" s="13"/>
      <c r="I93" s="13"/>
      <c r="J93" s="13"/>
      <c r="K93" s="13"/>
      <c r="L93" s="13"/>
      <c r="M93" s="13"/>
      <c r="N93" s="13"/>
    </row>
    <row r="94" customHeight="1" spans="1:14">
      <c r="A94" s="6"/>
      <c r="B94" s="16" t="s">
        <v>416</v>
      </c>
      <c r="C94" s="17" t="s">
        <v>224</v>
      </c>
      <c r="D94" s="18"/>
      <c r="E94" s="19">
        <v>173</v>
      </c>
      <c r="F94" s="11">
        <f t="shared" si="0"/>
        <v>3052.27</v>
      </c>
      <c r="G94" s="15"/>
      <c r="H94" s="15"/>
      <c r="I94" s="15"/>
      <c r="J94" s="15"/>
      <c r="K94" s="15"/>
      <c r="L94" s="15"/>
      <c r="M94" s="15"/>
      <c r="N94" s="15"/>
    </row>
    <row r="95" customHeight="1" spans="1:14">
      <c r="A95" s="6" t="s">
        <v>1180</v>
      </c>
      <c r="B95" s="7" t="s">
        <v>1139</v>
      </c>
      <c r="C95" s="8"/>
      <c r="D95" s="9">
        <v>3000</v>
      </c>
      <c r="E95" s="19"/>
      <c r="F95" s="11">
        <f t="shared" si="0"/>
        <v>6052.27</v>
      </c>
      <c r="G95" s="20">
        <f>G96-F96</f>
        <v>-3035</v>
      </c>
      <c r="H95" s="20"/>
      <c r="J95" s="20"/>
      <c r="K95" s="20"/>
      <c r="L95" s="20"/>
      <c r="M95" s="20"/>
      <c r="N95" s="20"/>
    </row>
    <row r="96" customHeight="1" spans="1:14">
      <c r="A96" s="6"/>
      <c r="B96" s="16" t="s">
        <v>1181</v>
      </c>
      <c r="C96" s="17"/>
      <c r="D96" s="18">
        <v>35</v>
      </c>
      <c r="E96" s="19"/>
      <c r="F96" s="11">
        <f t="shared" si="0"/>
        <v>6087.27</v>
      </c>
      <c r="G96" s="11">
        <f>H96+I96+J96+K96+L96+M96+N96</f>
        <v>3052.27</v>
      </c>
      <c r="H96" s="21">
        <v>0</v>
      </c>
      <c r="I96" s="34">
        <f>503.75</f>
        <v>503.75</v>
      </c>
      <c r="J96" s="21">
        <v>0</v>
      </c>
      <c r="K96" s="20">
        <v>0</v>
      </c>
      <c r="L96" s="20">
        <v>1393.52</v>
      </c>
      <c r="M96" s="20">
        <v>0</v>
      </c>
      <c r="N96" s="21">
        <f>1000+100+40+15</f>
        <v>1155</v>
      </c>
    </row>
    <row r="97" customHeight="1" spans="1:14">
      <c r="A97" s="6"/>
      <c r="B97" s="16" t="s">
        <v>1182</v>
      </c>
      <c r="C97" s="17" t="s">
        <v>27</v>
      </c>
      <c r="D97" s="18"/>
      <c r="E97" s="19">
        <f>288.45-E98</f>
        <v>140.45</v>
      </c>
      <c r="F97" s="11">
        <f t="shared" si="0"/>
        <v>5946.82</v>
      </c>
      <c r="G97" s="20"/>
      <c r="H97" s="20"/>
      <c r="J97" s="20"/>
      <c r="K97" s="20"/>
      <c r="L97" s="20"/>
      <c r="M97" s="20"/>
      <c r="N97" s="20"/>
    </row>
    <row r="98" customHeight="1" spans="1:14">
      <c r="A98" s="6"/>
      <c r="B98" s="16" t="s">
        <v>1183</v>
      </c>
      <c r="C98" s="17" t="s">
        <v>224</v>
      </c>
      <c r="D98" s="18"/>
      <c r="E98" s="19">
        <f>60+69+19</f>
        <v>148</v>
      </c>
      <c r="F98" s="11">
        <f t="shared" si="0"/>
        <v>5798.82</v>
      </c>
      <c r="G98" s="11"/>
      <c r="H98" s="20"/>
      <c r="J98" s="20"/>
      <c r="K98" s="20"/>
      <c r="L98" s="20"/>
      <c r="M98" s="20"/>
      <c r="N98" s="20"/>
    </row>
    <row r="99" customHeight="1" spans="1:14">
      <c r="A99" s="6"/>
      <c r="B99" s="7" t="s">
        <v>697</v>
      </c>
      <c r="C99" s="8" t="s">
        <v>224</v>
      </c>
      <c r="D99" s="9"/>
      <c r="E99" s="10">
        <v>20</v>
      </c>
      <c r="F99" s="11">
        <f t="shared" si="0"/>
        <v>5778.82</v>
      </c>
      <c r="G99" s="11"/>
      <c r="H99" s="20"/>
      <c r="I99" s="64"/>
      <c r="J99" s="20"/>
      <c r="K99" s="20"/>
      <c r="L99" s="20"/>
      <c r="M99" s="20"/>
      <c r="N99" s="20"/>
    </row>
    <row r="100" customHeight="1" spans="1:14">
      <c r="A100" s="6"/>
      <c r="B100" s="7" t="s">
        <v>1184</v>
      </c>
      <c r="C100" s="8" t="s">
        <v>219</v>
      </c>
      <c r="D100" s="9"/>
      <c r="E100" s="10">
        <v>2.96</v>
      </c>
      <c r="F100" s="11">
        <f t="shared" si="0"/>
        <v>5775.86</v>
      </c>
      <c r="G100" s="11"/>
      <c r="H100" s="20"/>
      <c r="I100" s="64"/>
      <c r="J100" s="20"/>
      <c r="K100" s="20"/>
      <c r="L100" s="20"/>
      <c r="M100" s="20"/>
      <c r="N100" s="20"/>
    </row>
    <row r="101" customHeight="1" spans="1:14">
      <c r="A101" s="6"/>
      <c r="B101" s="39" t="s">
        <v>792</v>
      </c>
      <c r="C101" s="40" t="s">
        <v>201</v>
      </c>
      <c r="D101" s="41"/>
      <c r="E101" s="42">
        <v>200</v>
      </c>
      <c r="F101" s="11">
        <f t="shared" si="0"/>
        <v>5575.86</v>
      </c>
      <c r="G101" s="15"/>
      <c r="H101" s="20"/>
      <c r="I101" s="15"/>
      <c r="J101" s="20"/>
      <c r="K101" s="20"/>
      <c r="L101" s="20"/>
      <c r="M101" s="20"/>
      <c r="N101" s="20"/>
    </row>
    <row r="102" customHeight="1" spans="1:14">
      <c r="A102" s="6" t="s">
        <v>1185</v>
      </c>
      <c r="B102" s="16" t="s">
        <v>1186</v>
      </c>
      <c r="C102" s="17" t="s">
        <v>27</v>
      </c>
      <c r="D102" s="18"/>
      <c r="E102" s="19">
        <v>345</v>
      </c>
      <c r="F102" s="11">
        <f t="shared" si="0"/>
        <v>5230.86</v>
      </c>
      <c r="G102" s="20"/>
      <c r="H102" s="20"/>
      <c r="J102" s="20"/>
      <c r="K102" s="20"/>
      <c r="L102" s="20"/>
      <c r="M102" s="20"/>
      <c r="N102" s="20"/>
    </row>
    <row r="103" customHeight="1" spans="1:14">
      <c r="A103" s="6" t="s">
        <v>1187</v>
      </c>
      <c r="B103" s="7" t="s">
        <v>697</v>
      </c>
      <c r="C103" s="8" t="s">
        <v>224</v>
      </c>
      <c r="D103" s="9"/>
      <c r="E103" s="10">
        <v>39</v>
      </c>
      <c r="F103" s="11">
        <f t="shared" si="0"/>
        <v>5191.86</v>
      </c>
      <c r="G103" s="20"/>
      <c r="H103" s="20"/>
      <c r="I103" s="15"/>
      <c r="J103" s="20"/>
      <c r="K103" s="20"/>
      <c r="L103" s="20"/>
      <c r="M103" s="20"/>
      <c r="N103" s="20"/>
    </row>
    <row r="104" customHeight="1" spans="1:14">
      <c r="A104" s="6"/>
      <c r="B104" s="7" t="s">
        <v>650</v>
      </c>
      <c r="C104" s="8" t="s">
        <v>86</v>
      </c>
      <c r="D104" s="9"/>
      <c r="E104" s="10">
        <v>60</v>
      </c>
      <c r="F104" s="11">
        <f t="shared" si="0"/>
        <v>5131.86</v>
      </c>
      <c r="G104" s="11"/>
      <c r="H104" s="20"/>
      <c r="I104" s="15"/>
      <c r="J104" s="20"/>
      <c r="K104" s="20"/>
      <c r="L104" s="20"/>
      <c r="M104" s="20"/>
      <c r="N104" s="20"/>
    </row>
    <row r="105" customHeight="1" spans="1:14">
      <c r="A105" s="6" t="s">
        <v>1188</v>
      </c>
      <c r="B105" s="7" t="s">
        <v>697</v>
      </c>
      <c r="C105" s="8" t="s">
        <v>224</v>
      </c>
      <c r="D105" s="9"/>
      <c r="E105" s="10">
        <v>20</v>
      </c>
      <c r="F105" s="11">
        <f t="shared" si="0"/>
        <v>5111.86</v>
      </c>
      <c r="G105" s="20"/>
      <c r="H105" s="20"/>
      <c r="J105" s="20"/>
      <c r="K105" s="20"/>
      <c r="L105" s="20"/>
      <c r="M105" s="20"/>
      <c r="N105" s="20"/>
    </row>
    <row r="106" customHeight="1" spans="1:14">
      <c r="A106" s="6"/>
      <c r="B106" s="16" t="s">
        <v>1189</v>
      </c>
      <c r="C106" s="17" t="s">
        <v>27</v>
      </c>
      <c r="D106" s="18"/>
      <c r="E106" s="19">
        <v>560.36</v>
      </c>
      <c r="F106" s="11">
        <f t="shared" si="0"/>
        <v>4551.5</v>
      </c>
      <c r="G106" s="20"/>
      <c r="H106" s="20"/>
      <c r="J106" s="20"/>
      <c r="K106" s="20"/>
      <c r="L106" s="20"/>
      <c r="M106" s="20"/>
      <c r="N106" s="20"/>
    </row>
    <row r="107" customHeight="1" spans="1:14">
      <c r="A107" s="6"/>
      <c r="B107" s="16" t="s">
        <v>940</v>
      </c>
      <c r="C107" s="17"/>
      <c r="D107" s="18">
        <v>2</v>
      </c>
      <c r="E107" s="19"/>
      <c r="F107" s="11">
        <f t="shared" si="0"/>
        <v>4553.5</v>
      </c>
      <c r="G107" s="20"/>
      <c r="H107" s="20"/>
      <c r="J107" s="20"/>
      <c r="K107" s="20"/>
      <c r="L107" s="20"/>
      <c r="M107" s="20"/>
      <c r="N107" s="20"/>
    </row>
    <row r="108" customHeight="1" spans="1:14">
      <c r="A108" s="6"/>
      <c r="B108" s="16" t="s">
        <v>1190</v>
      </c>
      <c r="C108" s="8"/>
      <c r="D108" s="18">
        <v>42</v>
      </c>
      <c r="E108" s="10"/>
      <c r="F108" s="11">
        <f t="shared" si="0"/>
        <v>4595.5</v>
      </c>
      <c r="G108" s="11"/>
      <c r="H108" s="21"/>
      <c r="I108" s="34"/>
      <c r="J108" s="21"/>
      <c r="K108" s="20"/>
      <c r="L108" s="20"/>
      <c r="M108" s="20"/>
      <c r="N108" s="21"/>
    </row>
    <row r="109" customHeight="1" spans="1:14">
      <c r="A109" s="6" t="s">
        <v>1191</v>
      </c>
      <c r="B109" s="7" t="s">
        <v>1192</v>
      </c>
      <c r="C109" s="8" t="s">
        <v>27</v>
      </c>
      <c r="D109" s="9"/>
      <c r="E109" s="10">
        <v>350</v>
      </c>
      <c r="F109" s="11">
        <f t="shared" si="0"/>
        <v>4245.5</v>
      </c>
      <c r="G109" s="20">
        <f>G110-F110</f>
        <v>0</v>
      </c>
      <c r="H109" s="20"/>
      <c r="J109" s="20"/>
      <c r="K109" s="20"/>
      <c r="L109" s="20"/>
      <c r="M109" s="20"/>
      <c r="N109" s="20"/>
    </row>
    <row r="110" customHeight="1" spans="1:14">
      <c r="A110" s="6"/>
      <c r="B110" s="7" t="s">
        <v>307</v>
      </c>
      <c r="C110" s="8" t="s">
        <v>86</v>
      </c>
      <c r="D110" s="9"/>
      <c r="E110" s="10">
        <v>269.85</v>
      </c>
      <c r="F110" s="11">
        <f t="shared" si="0"/>
        <v>3975.65</v>
      </c>
      <c r="G110" s="11">
        <f>H110+I110+J110+K110+L110+M110+N110</f>
        <v>3975.65</v>
      </c>
      <c r="H110" s="21">
        <v>0</v>
      </c>
      <c r="I110" s="34">
        <v>1619.09</v>
      </c>
      <c r="J110" s="21">
        <v>0</v>
      </c>
      <c r="K110" s="20">
        <v>0</v>
      </c>
      <c r="L110" s="20">
        <v>1401.56</v>
      </c>
      <c r="M110" s="20">
        <v>0</v>
      </c>
      <c r="N110" s="21">
        <f>500+400+40+15</f>
        <v>955</v>
      </c>
    </row>
    <row r="111" customHeight="1" spans="1:14">
      <c r="A111" s="6"/>
      <c r="B111" s="7"/>
      <c r="C111" s="8"/>
      <c r="D111" s="9"/>
      <c r="E111" s="10"/>
      <c r="F111" s="11">
        <f t="shared" si="0"/>
        <v>3975.65</v>
      </c>
      <c r="G111" s="11"/>
      <c r="H111" s="20"/>
      <c r="I111" s="64"/>
      <c r="J111" s="20"/>
      <c r="K111" s="20"/>
      <c r="L111" s="20"/>
      <c r="M111" s="20"/>
      <c r="N111" s="20"/>
    </row>
    <row r="112" customHeight="1" spans="1:14">
      <c r="A112" s="43"/>
      <c r="B112" s="4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 customHeight="1" spans="1:14">
      <c r="A113" s="43"/>
      <c r="B113" s="4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customHeight="1" spans="1:14">
      <c r="A114" s="43"/>
      <c r="B114" s="4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 customHeight="1" spans="1:14">
      <c r="A115" t="s">
        <v>24</v>
      </c>
      <c r="B115">
        <v>16000</v>
      </c>
      <c r="C115" s="15"/>
      <c r="D115" s="45" t="s">
        <v>294</v>
      </c>
      <c r="E115" s="45" t="s">
        <v>295</v>
      </c>
      <c r="F115" s="45" t="s">
        <v>15</v>
      </c>
      <c r="G115" s="15"/>
      <c r="H115" s="15"/>
      <c r="I115" s="15"/>
      <c r="J115" s="15"/>
      <c r="K115" s="15"/>
      <c r="L115" s="15"/>
      <c r="M115" s="15"/>
      <c r="N115" s="15"/>
    </row>
    <row r="116" customHeight="1" spans="1:14">
      <c r="A116" t="s">
        <v>230</v>
      </c>
      <c r="B116">
        <v>4000</v>
      </c>
      <c r="C116" s="15"/>
      <c r="D116" s="46">
        <f t="shared" ref="D116:E116" si="1">SUM(D3:D111)</f>
        <v>50366.12</v>
      </c>
      <c r="E116" s="46">
        <f t="shared" si="1"/>
        <v>46390.47</v>
      </c>
      <c r="F116" s="46">
        <f>D116-E116</f>
        <v>3975.65000000001</v>
      </c>
      <c r="G116" s="15"/>
      <c r="H116" s="15"/>
      <c r="I116" s="15"/>
      <c r="J116" s="15"/>
      <c r="K116" s="15"/>
      <c r="L116" s="15"/>
      <c r="M116" s="15"/>
      <c r="N116" s="15"/>
    </row>
    <row r="117" customHeight="1" spans="1:6">
      <c r="A117" s="47"/>
      <c r="B117" s="48"/>
      <c r="D117" s="49" t="s">
        <v>417</v>
      </c>
      <c r="E117" s="50">
        <f t="shared" ref="E117:E118" si="2">E116-B115</f>
        <v>30390.47</v>
      </c>
      <c r="F117" s="51"/>
    </row>
    <row r="118" customHeight="1" spans="1:6">
      <c r="A118" s="47"/>
      <c r="B118" s="48"/>
      <c r="D118" s="52" t="s">
        <v>497</v>
      </c>
      <c r="E118" s="53">
        <f t="shared" si="2"/>
        <v>26390.47</v>
      </c>
      <c r="F118" s="54"/>
    </row>
    <row r="119" customHeight="1" spans="1:2">
      <c r="A119" s="47"/>
      <c r="B119" s="48"/>
    </row>
    <row r="120" customHeight="1" spans="1:2">
      <c r="A120" s="47"/>
      <c r="B120" s="48"/>
    </row>
    <row r="121" customHeight="1" spans="1:2">
      <c r="A121" s="47"/>
      <c r="B121" s="48"/>
    </row>
    <row r="122" customHeight="1" spans="1:13">
      <c r="A122" s="47"/>
      <c r="B122" s="48"/>
      <c r="D122" s="55" t="s">
        <v>27</v>
      </c>
      <c r="E122" s="53">
        <f ca="1">SUMIF(C$3:E$111,"Grocery",E$3:E$111)</f>
        <v>10965.14</v>
      </c>
      <c r="F122" s="56">
        <f ca="1">SUM(E122:E124)</f>
        <v>16596.99</v>
      </c>
      <c r="K122" s="65"/>
      <c r="L122" s="65"/>
      <c r="M122" s="65"/>
    </row>
    <row r="123" customHeight="1" spans="1:13">
      <c r="A123" s="47"/>
      <c r="B123" s="48"/>
      <c r="D123" s="55" t="s">
        <v>224</v>
      </c>
      <c r="E123" s="53">
        <f ca="1">SUMIF(C$3:E$111,"Snacks",E$3:E$111)</f>
        <v>2080</v>
      </c>
      <c r="F123" s="57"/>
      <c r="K123" s="62"/>
      <c r="L123" s="62"/>
      <c r="M123" s="62"/>
    </row>
    <row r="124" customHeight="1" spans="1:13">
      <c r="A124" s="47"/>
      <c r="B124" s="48"/>
      <c r="D124" s="55" t="s">
        <v>299</v>
      </c>
      <c r="E124" s="53">
        <f ca="1">SUMIF(C$3:E$111,"Food",E$3:E$111)</f>
        <v>3551.85</v>
      </c>
      <c r="F124" s="58"/>
      <c r="K124" s="62"/>
      <c r="L124" s="62"/>
      <c r="M124" s="62"/>
    </row>
    <row r="125" customHeight="1" spans="1:13">
      <c r="A125" s="47"/>
      <c r="B125" s="48"/>
      <c r="D125" s="55" t="s">
        <v>245</v>
      </c>
      <c r="E125" s="53">
        <f ca="1">SUMIF(C$3:E$111,"Health",E$3:E$111)</f>
        <v>223</v>
      </c>
      <c r="K125" s="62"/>
      <c r="L125" s="62"/>
      <c r="M125" s="62"/>
    </row>
    <row r="126" customHeight="1" spans="1:13">
      <c r="A126" s="47"/>
      <c r="B126" s="48"/>
      <c r="D126" s="55" t="s">
        <v>54</v>
      </c>
      <c r="E126" s="53">
        <f ca="1">SUMIF(C$3:E$111,"Dress",E$3:E$111)</f>
        <v>50</v>
      </c>
      <c r="F126" s="59"/>
      <c r="G126" s="60"/>
      <c r="K126" s="62"/>
      <c r="L126" s="62"/>
      <c r="M126" s="62"/>
    </row>
    <row r="127" customHeight="1" spans="1:13">
      <c r="A127" s="47"/>
      <c r="B127" s="48"/>
      <c r="D127" s="55" t="s">
        <v>214</v>
      </c>
      <c r="E127" s="53">
        <f ca="1">SUMIF(C$3:E$111,"Home",E$3:E$111)</f>
        <v>18851.22</v>
      </c>
      <c r="K127" s="62"/>
      <c r="L127" s="62"/>
      <c r="M127" s="62"/>
    </row>
    <row r="128" customHeight="1" spans="1:13">
      <c r="A128" s="47"/>
      <c r="B128" s="48"/>
      <c r="D128" s="55" t="s">
        <v>281</v>
      </c>
      <c r="E128" s="53">
        <f ca="1">SUMIF(C$3:E$111,"Tickets",E$3:E$111)</f>
        <v>2468</v>
      </c>
      <c r="F128" s="61">
        <f ca="1">SUM(E128:E130)</f>
        <v>3278</v>
      </c>
      <c r="G128" s="62"/>
      <c r="K128" s="62"/>
      <c r="L128" s="62"/>
      <c r="M128" s="62"/>
    </row>
    <row r="129" customHeight="1" spans="1:13">
      <c r="A129" s="47"/>
      <c r="B129" s="48"/>
      <c r="D129" s="55" t="s">
        <v>210</v>
      </c>
      <c r="E129" s="53">
        <f ca="1">SUMIF(C$3:E$111,"Transport",E$3:E$111)</f>
        <v>0</v>
      </c>
      <c r="F129" s="66"/>
      <c r="H129" s="67" t="s">
        <v>300</v>
      </c>
      <c r="K129" s="62"/>
      <c r="L129" s="62"/>
      <c r="M129" s="62"/>
    </row>
    <row r="130" customHeight="1" spans="1:8">
      <c r="A130" s="47"/>
      <c r="B130" s="48"/>
      <c r="D130" s="55" t="s">
        <v>201</v>
      </c>
      <c r="E130" s="53">
        <f ca="1">SUMIF(C$3:E$111,"Fuel",E$3:E$111)</f>
        <v>810</v>
      </c>
      <c r="F130" s="68"/>
      <c r="H130" s="53">
        <f ca="1">E116-E132</f>
        <v>2138.29999999999</v>
      </c>
    </row>
    <row r="131" customHeight="1" spans="1:5">
      <c r="A131" s="47"/>
      <c r="B131" s="48"/>
      <c r="D131" s="55" t="s">
        <v>219</v>
      </c>
      <c r="E131" s="53">
        <f ca="1">SUMIF(C$3:E$111,"Others",E$3:E$111)</f>
        <v>5252.96</v>
      </c>
    </row>
    <row r="132" customHeight="1" spans="1:13">
      <c r="A132" s="47"/>
      <c r="B132" s="48"/>
      <c r="D132" s="69" t="s">
        <v>7</v>
      </c>
      <c r="E132" s="70">
        <f ca="1">SUM(E122:E131)</f>
        <v>44252.17</v>
      </c>
      <c r="K132" s="71"/>
      <c r="L132" s="72"/>
      <c r="M132" s="72"/>
    </row>
    <row r="133" customHeight="1" spans="1:13">
      <c r="A133" s="47"/>
      <c r="B133" s="48"/>
      <c r="K133" s="71"/>
      <c r="L133" s="72"/>
      <c r="M133" s="72"/>
    </row>
    <row r="134" customHeight="1" spans="1:2">
      <c r="A134" s="47"/>
      <c r="B134" s="48"/>
    </row>
    <row r="135" customHeight="1" spans="1:2">
      <c r="A135" s="47"/>
      <c r="B135" s="48"/>
    </row>
    <row r="136" customHeight="1" spans="1:2">
      <c r="A136" s="47"/>
      <c r="B136" s="48"/>
    </row>
    <row r="137" customHeight="1" spans="1:2">
      <c r="A137" s="47"/>
      <c r="B137" s="48"/>
    </row>
    <row r="138" customHeight="1" spans="1:2">
      <c r="A138" s="47"/>
      <c r="B138" s="48"/>
    </row>
    <row r="139" customHeight="1" spans="1:2">
      <c r="A139" s="47"/>
      <c r="B139" s="48"/>
    </row>
    <row r="140" customHeight="1" spans="1:2">
      <c r="A140" s="47"/>
      <c r="B140" s="48"/>
    </row>
    <row r="141" customHeight="1" spans="1:2">
      <c r="A141" s="47"/>
      <c r="B141" s="48"/>
    </row>
    <row r="142" customHeight="1" spans="1:2">
      <c r="A142" s="47"/>
      <c r="B142" s="48"/>
    </row>
    <row r="143" customHeight="1" spans="1:2">
      <c r="A143" s="47"/>
      <c r="B143" s="48"/>
    </row>
    <row r="144" customHeight="1" spans="1:2">
      <c r="A144" s="47"/>
      <c r="B144" s="48"/>
    </row>
    <row r="145" customHeight="1" spans="1:2">
      <c r="A145" s="47"/>
      <c r="B145" s="48"/>
    </row>
    <row r="146" customHeight="1" spans="1:2">
      <c r="A146" s="47"/>
      <c r="B146" s="48"/>
    </row>
    <row r="147" customHeight="1" spans="1:2">
      <c r="A147" s="47"/>
      <c r="B147" s="48"/>
    </row>
    <row r="148" customHeight="1" spans="1:2">
      <c r="A148" s="47"/>
      <c r="B148" s="48"/>
    </row>
    <row r="149" customHeight="1" spans="1:2">
      <c r="A149" s="47"/>
      <c r="B149" s="48"/>
    </row>
    <row r="150" customHeight="1" spans="1:2">
      <c r="A150" s="47"/>
      <c r="B150" s="48"/>
    </row>
    <row r="151" customHeight="1" spans="1:2">
      <c r="A151" s="47"/>
      <c r="B151" s="48"/>
    </row>
    <row r="152" customHeight="1" spans="1:2">
      <c r="A152" s="47"/>
      <c r="B152" s="48"/>
    </row>
    <row r="153" customHeight="1" spans="1:2">
      <c r="A153" s="47"/>
      <c r="B153" s="48"/>
    </row>
    <row r="154" customHeight="1" spans="1:2">
      <c r="A154" s="47"/>
      <c r="B154" s="48"/>
    </row>
    <row r="155" customHeight="1" spans="1:2">
      <c r="A155" s="47"/>
      <c r="B155" s="48"/>
    </row>
    <row r="156" customHeight="1" spans="1:2">
      <c r="A156" s="47"/>
      <c r="B156" s="48"/>
    </row>
    <row r="157" customHeight="1" spans="1:2">
      <c r="A157" s="47"/>
      <c r="B157" s="48"/>
    </row>
    <row r="158" customHeight="1" spans="1:2">
      <c r="A158" s="47"/>
      <c r="B158" s="48"/>
    </row>
    <row r="159" customHeight="1" spans="1:2">
      <c r="A159" s="47"/>
      <c r="B159" s="48"/>
    </row>
    <row r="160" customHeight="1" spans="1:2">
      <c r="A160" s="47"/>
      <c r="B160" s="48"/>
    </row>
    <row r="161" customHeight="1" spans="1:2">
      <c r="A161" s="47"/>
      <c r="B161" s="48"/>
    </row>
    <row r="162" customHeight="1" spans="1:2">
      <c r="A162" s="47"/>
      <c r="B162" s="48"/>
    </row>
    <row r="163" customHeight="1" spans="1:2">
      <c r="A163" s="47"/>
      <c r="B163" s="48"/>
    </row>
    <row r="164" customHeight="1" spans="1:2">
      <c r="A164" s="47"/>
      <c r="B164" s="48"/>
    </row>
    <row r="165" customHeight="1" spans="1:2">
      <c r="A165" s="47"/>
      <c r="B165" s="48"/>
    </row>
    <row r="166" customHeight="1" spans="1:2">
      <c r="A166" s="47"/>
      <c r="B166" s="48"/>
    </row>
    <row r="167" customHeight="1" spans="1:2">
      <c r="A167" s="47"/>
      <c r="B167" s="48"/>
    </row>
    <row r="168" customHeight="1" spans="1:2">
      <c r="A168" s="47"/>
      <c r="B168" s="48"/>
    </row>
    <row r="169" customHeight="1" spans="1:2">
      <c r="A169" s="47"/>
      <c r="B169" s="48"/>
    </row>
    <row r="170" customHeight="1" spans="1:2">
      <c r="A170" s="47"/>
      <c r="B170" s="48"/>
    </row>
    <row r="171" customHeight="1" spans="1:2">
      <c r="A171" s="47"/>
      <c r="B171" s="48"/>
    </row>
    <row r="172" customHeight="1" spans="1:2">
      <c r="A172" s="47"/>
      <c r="B172" s="48"/>
    </row>
    <row r="173" customHeight="1" spans="1:2">
      <c r="A173" s="47"/>
      <c r="B173" s="48"/>
    </row>
    <row r="174" customHeight="1" spans="1:2">
      <c r="A174" s="47"/>
      <c r="B174" s="48"/>
    </row>
    <row r="175" customHeight="1" spans="1:2">
      <c r="A175" s="47"/>
      <c r="B175" s="48"/>
    </row>
    <row r="176" customHeight="1" spans="1:2">
      <c r="A176" s="47"/>
      <c r="B176" s="48"/>
    </row>
    <row r="177" customHeight="1" spans="1:2">
      <c r="A177" s="47"/>
      <c r="B177" s="48"/>
    </row>
    <row r="178" customHeight="1" spans="1:2">
      <c r="A178" s="47"/>
      <c r="B178" s="48"/>
    </row>
    <row r="179" customHeight="1" spans="1:2">
      <c r="A179" s="47"/>
      <c r="B179" s="48"/>
    </row>
    <row r="180" customHeight="1" spans="1:2">
      <c r="A180" s="47"/>
      <c r="B180" s="48"/>
    </row>
    <row r="181" customHeight="1" spans="1:2">
      <c r="A181" s="47"/>
      <c r="B181" s="48"/>
    </row>
    <row r="182" customHeight="1" spans="1:2">
      <c r="A182" s="47"/>
      <c r="B182" s="48"/>
    </row>
    <row r="183" customHeight="1" spans="1:2">
      <c r="A183" s="47"/>
      <c r="B183" s="48"/>
    </row>
    <row r="184" customHeight="1" spans="1:2">
      <c r="A184" s="47"/>
      <c r="B184" s="48"/>
    </row>
    <row r="185" customHeight="1" spans="1:2">
      <c r="A185" s="47"/>
      <c r="B185" s="48"/>
    </row>
    <row r="186" customHeight="1" spans="1:2">
      <c r="A186" s="47"/>
      <c r="B186" s="48"/>
    </row>
    <row r="187" customHeight="1" spans="1:2">
      <c r="A187" s="47"/>
      <c r="B187" s="48"/>
    </row>
    <row r="188" customHeight="1" spans="1:2">
      <c r="A188" s="47"/>
      <c r="B188" s="48"/>
    </row>
    <row r="189" customHeight="1" spans="1:2">
      <c r="A189" s="47"/>
      <c r="B189" s="48"/>
    </row>
    <row r="190" customHeight="1" spans="1:2">
      <c r="A190" s="47"/>
      <c r="B190" s="48"/>
    </row>
    <row r="191" customHeight="1" spans="1:2">
      <c r="A191" s="47"/>
      <c r="B191" s="48"/>
    </row>
    <row r="192" customHeight="1" spans="1:2">
      <c r="A192" s="47"/>
      <c r="B192" s="48"/>
    </row>
    <row r="193" customHeight="1" spans="1:2">
      <c r="A193" s="47"/>
      <c r="B193" s="48"/>
    </row>
    <row r="194" customHeight="1" spans="1:2">
      <c r="A194" s="47"/>
      <c r="B194" s="48"/>
    </row>
    <row r="195" customHeight="1" spans="1:2">
      <c r="A195" s="47"/>
      <c r="B195" s="48"/>
    </row>
    <row r="196" customHeight="1" spans="1:2">
      <c r="A196" s="47"/>
      <c r="B196" s="48"/>
    </row>
    <row r="197" customHeight="1" spans="1:2">
      <c r="A197" s="47"/>
      <c r="B197" s="48"/>
    </row>
    <row r="198" customHeight="1" spans="1:2">
      <c r="A198" s="47"/>
      <c r="B198" s="48"/>
    </row>
    <row r="199" customHeight="1" spans="1:2">
      <c r="A199" s="47"/>
      <c r="B199" s="48"/>
    </row>
    <row r="200" customHeight="1" spans="1:2">
      <c r="A200" s="47"/>
      <c r="B200" s="48"/>
    </row>
    <row r="201" customHeight="1" spans="1:2">
      <c r="A201" s="47"/>
      <c r="B201" s="48"/>
    </row>
    <row r="202" customHeight="1" spans="1:2">
      <c r="A202" s="47"/>
      <c r="B202" s="48"/>
    </row>
    <row r="203" customHeight="1" spans="1:2">
      <c r="A203" s="47"/>
      <c r="B203" s="48"/>
    </row>
    <row r="204" customHeight="1" spans="1:2">
      <c r="A204" s="47"/>
      <c r="B204" s="48"/>
    </row>
    <row r="205" customHeight="1" spans="1:2">
      <c r="A205" s="47"/>
      <c r="B205" s="48"/>
    </row>
    <row r="206" customHeight="1" spans="1:2">
      <c r="A206" s="47"/>
      <c r="B206" s="48"/>
    </row>
    <row r="207" customHeight="1" spans="1:2">
      <c r="A207" s="47"/>
      <c r="B207" s="48"/>
    </row>
    <row r="208" customHeight="1" spans="1:2">
      <c r="A208" s="47"/>
      <c r="B208" s="48"/>
    </row>
    <row r="209" customHeight="1" spans="1:2">
      <c r="A209" s="47"/>
      <c r="B209" s="48"/>
    </row>
    <row r="210" customHeight="1" spans="1:2">
      <c r="A210" s="47"/>
      <c r="B210" s="48"/>
    </row>
    <row r="211" customHeight="1" spans="1:2">
      <c r="A211" s="47"/>
      <c r="B211" s="48"/>
    </row>
    <row r="212" customHeight="1" spans="1:2">
      <c r="A212" s="47"/>
      <c r="B212" s="48"/>
    </row>
    <row r="213" customHeight="1" spans="1:2">
      <c r="A213" s="47"/>
      <c r="B213" s="48"/>
    </row>
    <row r="214" customHeight="1" spans="1:2">
      <c r="A214" s="47"/>
      <c r="B214" s="48"/>
    </row>
    <row r="215" customHeight="1" spans="1:2">
      <c r="A215" s="47"/>
      <c r="B215" s="48"/>
    </row>
    <row r="216" customHeight="1" spans="1:2">
      <c r="A216" s="47"/>
      <c r="B216" s="48"/>
    </row>
    <row r="217" customHeight="1" spans="1:2">
      <c r="A217" s="47"/>
      <c r="B217" s="48"/>
    </row>
    <row r="218" customHeight="1" spans="1:2">
      <c r="A218" s="47"/>
      <c r="B218" s="48"/>
    </row>
    <row r="219" customHeight="1" spans="1:2">
      <c r="A219" s="47"/>
      <c r="B219" s="48"/>
    </row>
    <row r="220" customHeight="1" spans="1:2">
      <c r="A220" s="47"/>
      <c r="B220" s="48"/>
    </row>
    <row r="221" customHeight="1" spans="1:2">
      <c r="A221" s="47"/>
      <c r="B221" s="48"/>
    </row>
    <row r="222" customHeight="1" spans="1:2">
      <c r="A222" s="47"/>
      <c r="B222" s="48"/>
    </row>
    <row r="223" customHeight="1" spans="1:2">
      <c r="A223" s="47"/>
      <c r="B223" s="48"/>
    </row>
    <row r="224" customHeight="1" spans="1:2">
      <c r="A224" s="47"/>
      <c r="B224" s="48"/>
    </row>
    <row r="225" customHeight="1" spans="1:2">
      <c r="A225" s="47"/>
      <c r="B225" s="48"/>
    </row>
    <row r="226" customHeight="1" spans="1:2">
      <c r="A226" s="47"/>
      <c r="B226" s="48"/>
    </row>
    <row r="227" customHeight="1" spans="1:2">
      <c r="A227" s="47"/>
      <c r="B227" s="48"/>
    </row>
    <row r="228" customHeight="1" spans="1:2">
      <c r="A228" s="47"/>
      <c r="B228" s="48"/>
    </row>
    <row r="229" customHeight="1" spans="1:2">
      <c r="A229" s="47"/>
      <c r="B229" s="48"/>
    </row>
    <row r="230" customHeight="1" spans="1:2">
      <c r="A230" s="47"/>
      <c r="B230" s="48"/>
    </row>
    <row r="231" customHeight="1" spans="1:2">
      <c r="A231" s="47"/>
      <c r="B231" s="48"/>
    </row>
    <row r="232" customHeight="1" spans="1:2">
      <c r="A232" s="47"/>
      <c r="B232" s="48"/>
    </row>
    <row r="233" customHeight="1" spans="1:2">
      <c r="A233" s="47"/>
      <c r="B233" s="48"/>
    </row>
    <row r="234" customHeight="1" spans="1:2">
      <c r="A234" s="47"/>
      <c r="B234" s="48"/>
    </row>
    <row r="235" customHeight="1" spans="1:2">
      <c r="A235" s="47"/>
      <c r="B235" s="48"/>
    </row>
    <row r="236" customHeight="1" spans="1:2">
      <c r="A236" s="47"/>
      <c r="B236" s="48"/>
    </row>
    <row r="237" customHeight="1" spans="1:2">
      <c r="A237" s="47"/>
      <c r="B237" s="48"/>
    </row>
    <row r="238" customHeight="1" spans="1:2">
      <c r="A238" s="47"/>
      <c r="B238" s="48"/>
    </row>
    <row r="239" customHeight="1" spans="1:2">
      <c r="A239" s="47"/>
      <c r="B239" s="48"/>
    </row>
    <row r="240" customHeight="1" spans="1:2">
      <c r="A240" s="47"/>
      <c r="B240" s="48"/>
    </row>
    <row r="241" customHeight="1" spans="1:2">
      <c r="A241" s="47"/>
      <c r="B241" s="48"/>
    </row>
    <row r="242" customHeight="1" spans="1:2">
      <c r="A242" s="47"/>
      <c r="B242" s="48"/>
    </row>
    <row r="243" customHeight="1" spans="1:2">
      <c r="A243" s="47"/>
      <c r="B243" s="48"/>
    </row>
    <row r="244" customHeight="1" spans="1:2">
      <c r="A244" s="47"/>
      <c r="B244" s="48"/>
    </row>
    <row r="245" customHeight="1" spans="1:2">
      <c r="A245" s="47"/>
      <c r="B245" s="48"/>
    </row>
    <row r="246" customHeight="1" spans="1:2">
      <c r="A246" s="47"/>
      <c r="B246" s="48"/>
    </row>
    <row r="247" customHeight="1" spans="1:2">
      <c r="A247" s="47"/>
      <c r="B247" s="48"/>
    </row>
    <row r="248" customHeight="1" spans="1:2">
      <c r="A248" s="47"/>
      <c r="B248" s="48"/>
    </row>
    <row r="249" customHeight="1" spans="1:2">
      <c r="A249" s="47"/>
      <c r="B249" s="48"/>
    </row>
    <row r="250" customHeight="1" spans="1:2">
      <c r="A250" s="47"/>
      <c r="B250" s="48"/>
    </row>
    <row r="251" customHeight="1" spans="1:2">
      <c r="A251" s="47"/>
      <c r="B251" s="48"/>
    </row>
    <row r="252" customHeight="1" spans="1:2">
      <c r="A252" s="47"/>
      <c r="B252" s="48"/>
    </row>
    <row r="253" customHeight="1" spans="1:2">
      <c r="A253" s="47"/>
      <c r="B253" s="48"/>
    </row>
    <row r="254" customHeight="1" spans="1:2">
      <c r="A254" s="47"/>
      <c r="B254" s="48"/>
    </row>
    <row r="255" customHeight="1" spans="1:2">
      <c r="A255" s="47"/>
      <c r="B255" s="48"/>
    </row>
    <row r="256" customHeight="1" spans="1:2">
      <c r="A256" s="47"/>
      <c r="B256" s="48"/>
    </row>
    <row r="257" customHeight="1" spans="1:2">
      <c r="A257" s="47"/>
      <c r="B257" s="48"/>
    </row>
    <row r="258" customHeight="1" spans="1:2">
      <c r="A258" s="47"/>
      <c r="B258" s="48"/>
    </row>
    <row r="259" customHeight="1" spans="1:2">
      <c r="A259" s="47"/>
      <c r="B259" s="48"/>
    </row>
    <row r="260" customHeight="1" spans="1:2">
      <c r="A260" s="47"/>
      <c r="B260" s="48"/>
    </row>
    <row r="261" customHeight="1" spans="1:2">
      <c r="A261" s="47"/>
      <c r="B261" s="48"/>
    </row>
    <row r="262" customHeight="1" spans="1:2">
      <c r="A262" s="47"/>
      <c r="B262" s="48"/>
    </row>
    <row r="263" customHeight="1" spans="1:2">
      <c r="A263" s="47"/>
      <c r="B263" s="48"/>
    </row>
    <row r="264" customHeight="1" spans="1:2">
      <c r="A264" s="47"/>
      <c r="B264" s="48"/>
    </row>
    <row r="265" customHeight="1" spans="1:2">
      <c r="A265" s="47"/>
      <c r="B265" s="48"/>
    </row>
    <row r="266" customHeight="1" spans="1:2">
      <c r="A266" s="47"/>
      <c r="B266" s="48"/>
    </row>
    <row r="267" customHeight="1" spans="1:2">
      <c r="A267" s="47"/>
      <c r="B267" s="48"/>
    </row>
    <row r="268" customHeight="1" spans="1:2">
      <c r="A268" s="47"/>
      <c r="B268" s="48"/>
    </row>
    <row r="269" customHeight="1" spans="1:2">
      <c r="A269" s="47"/>
      <c r="B269" s="48"/>
    </row>
    <row r="270" customHeight="1" spans="1:2">
      <c r="A270" s="47"/>
      <c r="B270" s="48"/>
    </row>
    <row r="271" customHeight="1" spans="1:2">
      <c r="A271" s="47"/>
      <c r="B271" s="48"/>
    </row>
    <row r="272" customHeight="1" spans="1:2">
      <c r="A272" s="47"/>
      <c r="B272" s="48"/>
    </row>
    <row r="273" customHeight="1" spans="1:2">
      <c r="A273" s="47"/>
      <c r="B273" s="48"/>
    </row>
    <row r="274" customHeight="1" spans="1:2">
      <c r="A274" s="47"/>
      <c r="B274" s="48"/>
    </row>
    <row r="275" customHeight="1" spans="1:2">
      <c r="A275" s="47"/>
      <c r="B275" s="48"/>
    </row>
    <row r="276" customHeight="1" spans="1:2">
      <c r="A276" s="47"/>
      <c r="B276" s="48"/>
    </row>
    <row r="277" customHeight="1" spans="1:2">
      <c r="A277" s="47"/>
      <c r="B277" s="48"/>
    </row>
    <row r="278" customHeight="1" spans="1:2">
      <c r="A278" s="47"/>
      <c r="B278" s="48"/>
    </row>
    <row r="279" customHeight="1" spans="1:2">
      <c r="A279" s="47"/>
      <c r="B279" s="48"/>
    </row>
    <row r="280" customHeight="1" spans="1:2">
      <c r="A280" s="47"/>
      <c r="B280" s="48"/>
    </row>
    <row r="281" customHeight="1" spans="1:2">
      <c r="A281" s="47"/>
      <c r="B281" s="48"/>
    </row>
    <row r="282" customHeight="1" spans="1:2">
      <c r="A282" s="47"/>
      <c r="B282" s="48"/>
    </row>
    <row r="283" customHeight="1" spans="1:2">
      <c r="A283" s="47"/>
      <c r="B283" s="48"/>
    </row>
    <row r="284" customHeight="1" spans="1:2">
      <c r="A284" s="47"/>
      <c r="B284" s="48"/>
    </row>
    <row r="285" customHeight="1" spans="1:2">
      <c r="A285" s="47"/>
      <c r="B285" s="48"/>
    </row>
    <row r="286" customHeight="1" spans="1:2">
      <c r="A286" s="47"/>
      <c r="B286" s="48"/>
    </row>
    <row r="287" customHeight="1" spans="1:2">
      <c r="A287" s="47"/>
      <c r="B287" s="48"/>
    </row>
    <row r="288" customHeight="1" spans="1:2">
      <c r="A288" s="47"/>
      <c r="B288" s="48"/>
    </row>
    <row r="289" customHeight="1" spans="1:2">
      <c r="A289" s="47"/>
      <c r="B289" s="48"/>
    </row>
    <row r="290" customHeight="1" spans="1:2">
      <c r="A290" s="47"/>
      <c r="B290" s="48"/>
    </row>
    <row r="291" customHeight="1" spans="1:2">
      <c r="A291" s="47"/>
      <c r="B291" s="48"/>
    </row>
    <row r="292" customHeight="1" spans="1:2">
      <c r="A292" s="47"/>
      <c r="B292" s="48"/>
    </row>
    <row r="293" customHeight="1" spans="1:2">
      <c r="A293" s="47"/>
      <c r="B293" s="48"/>
    </row>
    <row r="294" customHeight="1" spans="1:2">
      <c r="A294" s="47"/>
      <c r="B294" s="48"/>
    </row>
    <row r="295" customHeight="1" spans="1:2">
      <c r="A295" s="47"/>
      <c r="B295" s="48"/>
    </row>
    <row r="296" customHeight="1" spans="1:2">
      <c r="A296" s="47"/>
      <c r="B296" s="48"/>
    </row>
    <row r="297" customHeight="1" spans="1:2">
      <c r="A297" s="47"/>
      <c r="B297" s="48"/>
    </row>
    <row r="298" customHeight="1" spans="1:2">
      <c r="A298" s="47"/>
      <c r="B298" s="48"/>
    </row>
    <row r="299" customHeight="1" spans="1:2">
      <c r="A299" s="47"/>
      <c r="B299" s="48"/>
    </row>
    <row r="300" customHeight="1" spans="1:2">
      <c r="A300" s="47"/>
      <c r="B300" s="48"/>
    </row>
    <row r="301" customHeight="1" spans="1:2">
      <c r="A301" s="47"/>
      <c r="B301" s="48"/>
    </row>
    <row r="302" customHeight="1" spans="1:2">
      <c r="A302" s="47"/>
      <c r="B302" s="48"/>
    </row>
    <row r="303" customHeight="1" spans="1:2">
      <c r="A303" s="47"/>
      <c r="B303" s="48"/>
    </row>
    <row r="304" customHeight="1" spans="1:2">
      <c r="A304" s="47"/>
      <c r="B304" s="48"/>
    </row>
    <row r="305" customHeight="1" spans="1:2">
      <c r="A305" s="47"/>
      <c r="B305" s="48"/>
    </row>
    <row r="306" customHeight="1" spans="1:2">
      <c r="A306" s="47"/>
      <c r="B306" s="48"/>
    </row>
    <row r="307" customHeight="1" spans="1:2">
      <c r="A307" s="47"/>
      <c r="B307" s="48"/>
    </row>
    <row r="308" customHeight="1" spans="1:2">
      <c r="A308" s="47"/>
      <c r="B308" s="48"/>
    </row>
    <row r="309" customHeight="1" spans="1:2">
      <c r="A309" s="47"/>
      <c r="B309" s="48"/>
    </row>
    <row r="310" customHeight="1" spans="1:2">
      <c r="A310" s="47"/>
      <c r="B310" s="48"/>
    </row>
    <row r="311" customHeight="1" spans="1:2">
      <c r="A311" s="47"/>
      <c r="B311" s="48"/>
    </row>
    <row r="312" customHeight="1" spans="1:2">
      <c r="A312" s="47"/>
      <c r="B312" s="48"/>
    </row>
    <row r="313" customHeight="1" spans="1:2">
      <c r="A313" s="47"/>
      <c r="B313" s="48"/>
    </row>
    <row r="314" customHeight="1" spans="1:2">
      <c r="A314" s="47"/>
      <c r="B314" s="48"/>
    </row>
    <row r="315" customHeight="1" spans="1:2">
      <c r="A315" s="47"/>
      <c r="B315" s="48"/>
    </row>
    <row r="316" customHeight="1" spans="1:2">
      <c r="A316" s="47"/>
      <c r="B316" s="48"/>
    </row>
    <row r="317" customHeight="1" spans="1:2">
      <c r="A317" s="47"/>
      <c r="B317" s="48"/>
    </row>
    <row r="318" customHeight="1" spans="1:2">
      <c r="A318" s="47"/>
      <c r="B318" s="48"/>
    </row>
    <row r="319" customHeight="1" spans="1:2">
      <c r="A319" s="47"/>
      <c r="B319" s="48"/>
    </row>
    <row r="320" customHeight="1" spans="1:2">
      <c r="A320" s="47"/>
      <c r="B320" s="48"/>
    </row>
    <row r="321" customHeight="1" spans="1:2">
      <c r="A321" s="47"/>
      <c r="B321" s="48"/>
    </row>
    <row r="322" customHeight="1" spans="1:2">
      <c r="A322" s="47"/>
      <c r="B322" s="48"/>
    </row>
    <row r="323" customHeight="1" spans="1:2">
      <c r="A323" s="47"/>
      <c r="B323" s="48"/>
    </row>
    <row r="324" customHeight="1" spans="1:2">
      <c r="A324" s="47"/>
      <c r="B324" s="48"/>
    </row>
    <row r="325" customHeight="1" spans="1:2">
      <c r="A325" s="47"/>
      <c r="B325" s="48"/>
    </row>
    <row r="326" customHeight="1" spans="1:2">
      <c r="A326" s="47"/>
      <c r="B326" s="48"/>
    </row>
    <row r="327" customHeight="1" spans="1:2">
      <c r="A327" s="47"/>
      <c r="B327" s="48"/>
    </row>
    <row r="328" customHeight="1" spans="1:2">
      <c r="A328" s="47"/>
      <c r="B328" s="48"/>
    </row>
    <row r="329" customHeight="1" spans="1:2">
      <c r="A329" s="47"/>
      <c r="B329" s="48"/>
    </row>
    <row r="330" customHeight="1" spans="1:2">
      <c r="A330" s="47"/>
      <c r="B330" s="48"/>
    </row>
    <row r="331" customHeight="1" spans="1:2">
      <c r="A331" s="47"/>
      <c r="B331" s="48"/>
    </row>
    <row r="332" customHeight="1" spans="1:2">
      <c r="A332" s="47"/>
      <c r="B332" s="48"/>
    </row>
    <row r="333" customHeight="1" spans="1:2">
      <c r="A333" s="47"/>
      <c r="B333" s="48"/>
    </row>
    <row r="334" customHeight="1" spans="1:2">
      <c r="A334" s="47"/>
      <c r="B334" s="48"/>
    </row>
    <row r="335" customHeight="1" spans="1:2">
      <c r="A335" s="47"/>
      <c r="B335" s="48"/>
    </row>
    <row r="336" customHeight="1" spans="1:2">
      <c r="A336" s="47"/>
      <c r="B336" s="48"/>
    </row>
    <row r="337" customHeight="1" spans="1:2">
      <c r="A337" s="47"/>
      <c r="B337" s="48"/>
    </row>
    <row r="338" customHeight="1" spans="1:2">
      <c r="A338" s="47"/>
      <c r="B338" s="48"/>
    </row>
    <row r="339" customHeight="1" spans="1:2">
      <c r="A339" s="47"/>
      <c r="B339" s="48"/>
    </row>
    <row r="340" customHeight="1" spans="1:2">
      <c r="A340" s="47"/>
      <c r="B340" s="48"/>
    </row>
    <row r="341" customHeight="1" spans="1:2">
      <c r="A341" s="47"/>
      <c r="B341" s="48"/>
    </row>
    <row r="342" customHeight="1" spans="1:2">
      <c r="A342" s="47"/>
      <c r="B342" s="48"/>
    </row>
    <row r="343" customHeight="1" spans="1:2">
      <c r="A343" s="47"/>
      <c r="B343" s="48"/>
    </row>
    <row r="344" customHeight="1" spans="1:2">
      <c r="A344" s="47"/>
      <c r="B344" s="48"/>
    </row>
    <row r="345" customHeight="1" spans="1:2">
      <c r="A345" s="47"/>
      <c r="B345" s="48"/>
    </row>
    <row r="346" customHeight="1" spans="1:2">
      <c r="A346" s="47"/>
      <c r="B346" s="48"/>
    </row>
    <row r="347" customHeight="1" spans="1:2">
      <c r="A347" s="47"/>
      <c r="B347" s="48"/>
    </row>
    <row r="348" customHeight="1" spans="1:2">
      <c r="A348" s="47"/>
      <c r="B348" s="48"/>
    </row>
    <row r="349" customHeight="1" spans="1:2">
      <c r="A349" s="47"/>
      <c r="B349" s="48"/>
    </row>
    <row r="350" customHeight="1" spans="1:2">
      <c r="A350" s="47"/>
      <c r="B350" s="48"/>
    </row>
    <row r="351" customHeight="1" spans="1:2">
      <c r="A351" s="47"/>
      <c r="B351" s="48"/>
    </row>
    <row r="352" customHeight="1" spans="1:2">
      <c r="A352" s="47"/>
      <c r="B352" s="48"/>
    </row>
    <row r="353" customHeight="1" spans="1:2">
      <c r="A353" s="47"/>
      <c r="B353" s="48"/>
    </row>
    <row r="354" customHeight="1" spans="1:2">
      <c r="A354" s="47"/>
      <c r="B354" s="48"/>
    </row>
    <row r="355" customHeight="1" spans="1:2">
      <c r="A355" s="47"/>
      <c r="B355" s="48"/>
    </row>
    <row r="356" customHeight="1" spans="1:2">
      <c r="A356" s="47"/>
      <c r="B356" s="48"/>
    </row>
    <row r="357" customHeight="1" spans="1:2">
      <c r="A357" s="47"/>
      <c r="B357" s="48"/>
    </row>
    <row r="358" customHeight="1" spans="1:2">
      <c r="A358" s="47"/>
      <c r="B358" s="48"/>
    </row>
    <row r="359" customHeight="1" spans="1:2">
      <c r="A359" s="47"/>
      <c r="B359" s="48"/>
    </row>
    <row r="360" customHeight="1" spans="1:2">
      <c r="A360" s="47"/>
      <c r="B360" s="48"/>
    </row>
    <row r="361" customHeight="1" spans="1:2">
      <c r="A361" s="47"/>
      <c r="B361" s="48"/>
    </row>
    <row r="362" customHeight="1" spans="1:2">
      <c r="A362" s="47"/>
      <c r="B362" s="48"/>
    </row>
    <row r="363" customHeight="1" spans="1:2">
      <c r="A363" s="47"/>
      <c r="B363" s="48"/>
    </row>
    <row r="364" customHeight="1" spans="1:2">
      <c r="A364" s="47"/>
      <c r="B364" s="48"/>
    </row>
    <row r="365" customHeight="1" spans="1:2">
      <c r="A365" s="47"/>
      <c r="B365" s="48"/>
    </row>
    <row r="366" customHeight="1" spans="1:2">
      <c r="A366" s="47"/>
      <c r="B366" s="48"/>
    </row>
    <row r="367" customHeight="1" spans="1:2">
      <c r="A367" s="47"/>
      <c r="B367" s="48"/>
    </row>
    <row r="368" customHeight="1" spans="1:2">
      <c r="A368" s="47"/>
      <c r="B368" s="48"/>
    </row>
    <row r="369" customHeight="1" spans="1:2">
      <c r="A369" s="47"/>
      <c r="B369" s="48"/>
    </row>
    <row r="370" customHeight="1" spans="1:2">
      <c r="A370" s="47"/>
      <c r="B370" s="48"/>
    </row>
    <row r="371" customHeight="1" spans="1:2">
      <c r="A371" s="47"/>
      <c r="B371" s="48"/>
    </row>
    <row r="372" customHeight="1" spans="1:2">
      <c r="A372" s="47"/>
      <c r="B372" s="48"/>
    </row>
    <row r="373" customHeight="1" spans="1:2">
      <c r="A373" s="47"/>
      <c r="B373" s="48"/>
    </row>
    <row r="374" customHeight="1" spans="1:2">
      <c r="A374" s="47"/>
      <c r="B374" s="48"/>
    </row>
    <row r="375" customHeight="1" spans="1:2">
      <c r="A375" s="47"/>
      <c r="B375" s="48"/>
    </row>
    <row r="376" customHeight="1" spans="1:2">
      <c r="A376" s="47"/>
      <c r="B376" s="48"/>
    </row>
    <row r="377" customHeight="1" spans="1:2">
      <c r="A377" s="47"/>
      <c r="B377" s="48"/>
    </row>
    <row r="378" customHeight="1" spans="1:2">
      <c r="A378" s="47"/>
      <c r="B378" s="48"/>
    </row>
    <row r="379" customHeight="1" spans="1:2">
      <c r="A379" s="47"/>
      <c r="B379" s="48"/>
    </row>
    <row r="380" customHeight="1" spans="1:2">
      <c r="A380" s="47"/>
      <c r="B380" s="48"/>
    </row>
    <row r="381" customHeight="1" spans="1:2">
      <c r="A381" s="47"/>
      <c r="B381" s="48"/>
    </row>
    <row r="382" customHeight="1" spans="1:2">
      <c r="A382" s="47"/>
      <c r="B382" s="48"/>
    </row>
    <row r="383" customHeight="1" spans="1:2">
      <c r="A383" s="47"/>
      <c r="B383" s="48"/>
    </row>
    <row r="384" customHeight="1" spans="1:2">
      <c r="A384" s="47"/>
      <c r="B384" s="48"/>
    </row>
    <row r="385" customHeight="1" spans="1:2">
      <c r="A385" s="47"/>
      <c r="B385" s="48"/>
    </row>
    <row r="386" customHeight="1" spans="1:2">
      <c r="A386" s="47"/>
      <c r="B386" s="48"/>
    </row>
    <row r="387" customHeight="1" spans="1:2">
      <c r="A387" s="47"/>
      <c r="B387" s="48"/>
    </row>
    <row r="388" customHeight="1" spans="1:2">
      <c r="A388" s="47"/>
      <c r="B388" s="48"/>
    </row>
    <row r="389" customHeight="1" spans="1:2">
      <c r="A389" s="47"/>
      <c r="B389" s="48"/>
    </row>
    <row r="390" customHeight="1" spans="1:2">
      <c r="A390" s="47"/>
      <c r="B390" s="48"/>
    </row>
    <row r="391" customHeight="1" spans="1:2">
      <c r="A391" s="47"/>
      <c r="B391" s="48"/>
    </row>
    <row r="392" customHeight="1" spans="1:2">
      <c r="A392" s="47"/>
      <c r="B392" s="48"/>
    </row>
    <row r="393" customHeight="1" spans="1:2">
      <c r="A393" s="47"/>
      <c r="B393" s="48"/>
    </row>
    <row r="394" customHeight="1" spans="1:2">
      <c r="A394" s="47"/>
      <c r="B394" s="48"/>
    </row>
    <row r="395" customHeight="1" spans="1:2">
      <c r="A395" s="47"/>
      <c r="B395" s="48"/>
    </row>
    <row r="396" customHeight="1" spans="1:2">
      <c r="A396" s="47"/>
      <c r="B396" s="48"/>
    </row>
    <row r="397" customHeight="1" spans="1:2">
      <c r="A397" s="47"/>
      <c r="B397" s="48"/>
    </row>
    <row r="398" customHeight="1" spans="1:2">
      <c r="A398" s="47"/>
      <c r="B398" s="48"/>
    </row>
    <row r="399" customHeight="1" spans="1:2">
      <c r="A399" s="47"/>
      <c r="B399" s="48"/>
    </row>
    <row r="400" customHeight="1" spans="1:2">
      <c r="A400" s="47"/>
      <c r="B400" s="48"/>
    </row>
    <row r="401" customHeight="1" spans="1:2">
      <c r="A401" s="47"/>
      <c r="B401" s="48"/>
    </row>
    <row r="402" customHeight="1" spans="1:2">
      <c r="A402" s="47"/>
      <c r="B402" s="48"/>
    </row>
    <row r="403" customHeight="1" spans="1:2">
      <c r="A403" s="47"/>
      <c r="B403" s="48"/>
    </row>
    <row r="404" customHeight="1" spans="1:2">
      <c r="A404" s="47"/>
      <c r="B404" s="48"/>
    </row>
    <row r="405" customHeight="1" spans="1:2">
      <c r="A405" s="47"/>
      <c r="B405" s="48"/>
    </row>
    <row r="406" customHeight="1" spans="1:2">
      <c r="A406" s="47"/>
      <c r="B406" s="48"/>
    </row>
    <row r="407" customHeight="1" spans="1:2">
      <c r="A407" s="47"/>
      <c r="B407" s="48"/>
    </row>
    <row r="408" customHeight="1" spans="1:2">
      <c r="A408" s="47"/>
      <c r="B408" s="48"/>
    </row>
    <row r="409" customHeight="1" spans="1:2">
      <c r="A409" s="47"/>
      <c r="B409" s="48"/>
    </row>
    <row r="410" customHeight="1" spans="1:2">
      <c r="A410" s="47"/>
      <c r="B410" s="48"/>
    </row>
    <row r="411" customHeight="1" spans="1:2">
      <c r="A411" s="47"/>
      <c r="B411" s="48"/>
    </row>
    <row r="412" customHeight="1" spans="1:2">
      <c r="A412" s="47"/>
      <c r="B412" s="48"/>
    </row>
    <row r="413" customHeight="1" spans="1:2">
      <c r="A413" s="47"/>
      <c r="B413" s="48"/>
    </row>
    <row r="414" customHeight="1" spans="1:2">
      <c r="A414" s="47"/>
      <c r="B414" s="48"/>
    </row>
    <row r="415" customHeight="1" spans="1:2">
      <c r="A415" s="47"/>
      <c r="B415" s="48"/>
    </row>
    <row r="416" customHeight="1" spans="1:2">
      <c r="A416" s="47"/>
      <c r="B416" s="48"/>
    </row>
    <row r="417" customHeight="1" spans="1:2">
      <c r="A417" s="47"/>
      <c r="B417" s="48"/>
    </row>
    <row r="418" customHeight="1" spans="1:2">
      <c r="A418" s="47"/>
      <c r="B418" s="48"/>
    </row>
    <row r="419" customHeight="1" spans="1:2">
      <c r="A419" s="47"/>
      <c r="B419" s="48"/>
    </row>
    <row r="420" customHeight="1" spans="1:2">
      <c r="A420" s="47"/>
      <c r="B420" s="48"/>
    </row>
    <row r="421" customHeight="1" spans="1:2">
      <c r="A421" s="47"/>
      <c r="B421" s="48"/>
    </row>
    <row r="422" customHeight="1" spans="1:2">
      <c r="A422" s="47"/>
      <c r="B422" s="48"/>
    </row>
    <row r="423" customHeight="1" spans="1:2">
      <c r="A423" s="47"/>
      <c r="B423" s="48"/>
    </row>
    <row r="424" customHeight="1" spans="1:2">
      <c r="A424" s="47"/>
      <c r="B424" s="48"/>
    </row>
    <row r="425" customHeight="1" spans="1:2">
      <c r="A425" s="47"/>
      <c r="B425" s="48"/>
    </row>
    <row r="426" customHeight="1" spans="1:2">
      <c r="A426" s="47"/>
      <c r="B426" s="48"/>
    </row>
    <row r="427" customHeight="1" spans="1:2">
      <c r="A427" s="47"/>
      <c r="B427" s="48"/>
    </row>
    <row r="428" customHeight="1" spans="1:2">
      <c r="A428" s="47"/>
      <c r="B428" s="48"/>
    </row>
    <row r="429" customHeight="1" spans="1:2">
      <c r="A429" s="47"/>
      <c r="B429" s="48"/>
    </row>
    <row r="430" customHeight="1" spans="1:2">
      <c r="A430" s="47"/>
      <c r="B430" s="48"/>
    </row>
    <row r="431" customHeight="1" spans="1:2">
      <c r="A431" s="47"/>
      <c r="B431" s="48"/>
    </row>
    <row r="432" customHeight="1" spans="1:2">
      <c r="A432" s="47"/>
      <c r="B432" s="48"/>
    </row>
    <row r="433" customHeight="1" spans="1:2">
      <c r="A433" s="47"/>
      <c r="B433" s="48"/>
    </row>
    <row r="434" customHeight="1" spans="1:2">
      <c r="A434" s="47"/>
      <c r="B434" s="48"/>
    </row>
    <row r="435" customHeight="1" spans="1:2">
      <c r="A435" s="47"/>
      <c r="B435" s="48"/>
    </row>
    <row r="436" customHeight="1" spans="1:2">
      <c r="A436" s="47"/>
      <c r="B436" s="48"/>
    </row>
    <row r="437" customHeight="1" spans="1:2">
      <c r="A437" s="47"/>
      <c r="B437" s="48"/>
    </row>
    <row r="438" customHeight="1" spans="1:2">
      <c r="A438" s="47"/>
      <c r="B438" s="48"/>
    </row>
    <row r="439" customHeight="1" spans="1:2">
      <c r="A439" s="47"/>
      <c r="B439" s="48"/>
    </row>
    <row r="440" customHeight="1" spans="1:2">
      <c r="A440" s="47"/>
      <c r="B440" s="48"/>
    </row>
    <row r="441" customHeight="1" spans="1:2">
      <c r="A441" s="47"/>
      <c r="B441" s="48"/>
    </row>
    <row r="442" customHeight="1" spans="1:2">
      <c r="A442" s="47"/>
      <c r="B442" s="48"/>
    </row>
    <row r="443" customHeight="1" spans="1:2">
      <c r="A443" s="47"/>
      <c r="B443" s="48"/>
    </row>
    <row r="444" customHeight="1" spans="1:2">
      <c r="A444" s="47"/>
      <c r="B444" s="48"/>
    </row>
    <row r="445" customHeight="1" spans="1:2">
      <c r="A445" s="47"/>
      <c r="B445" s="48"/>
    </row>
    <row r="446" customHeight="1" spans="1:2">
      <c r="A446" s="47"/>
      <c r="B446" s="48"/>
    </row>
    <row r="447" customHeight="1" spans="1:2">
      <c r="A447" s="47"/>
      <c r="B447" s="48"/>
    </row>
    <row r="448" customHeight="1" spans="1:2">
      <c r="A448" s="47"/>
      <c r="B448" s="48"/>
    </row>
    <row r="449" customHeight="1" spans="1:2">
      <c r="A449" s="47"/>
      <c r="B449" s="48"/>
    </row>
    <row r="450" customHeight="1" spans="1:2">
      <c r="A450" s="47"/>
      <c r="B450" s="48"/>
    </row>
    <row r="451" customHeight="1" spans="1:2">
      <c r="A451" s="47"/>
      <c r="B451" s="48"/>
    </row>
    <row r="452" customHeight="1" spans="1:2">
      <c r="A452" s="47"/>
      <c r="B452" s="48"/>
    </row>
    <row r="453" customHeight="1" spans="1:2">
      <c r="A453" s="47"/>
      <c r="B453" s="48"/>
    </row>
    <row r="454" customHeight="1" spans="1:2">
      <c r="A454" s="47"/>
      <c r="B454" s="48"/>
    </row>
    <row r="455" customHeight="1" spans="1:2">
      <c r="A455" s="47"/>
      <c r="B455" s="48"/>
    </row>
    <row r="456" customHeight="1" spans="1:2">
      <c r="A456" s="47"/>
      <c r="B456" s="48"/>
    </row>
    <row r="457" customHeight="1" spans="1:2">
      <c r="A457" s="47"/>
      <c r="B457" s="48"/>
    </row>
    <row r="458" customHeight="1" spans="1:2">
      <c r="A458" s="47"/>
      <c r="B458" s="48"/>
    </row>
    <row r="459" customHeight="1" spans="1:2">
      <c r="A459" s="47"/>
      <c r="B459" s="48"/>
    </row>
    <row r="460" customHeight="1" spans="1:2">
      <c r="A460" s="47"/>
      <c r="B460" s="48"/>
    </row>
    <row r="461" customHeight="1" spans="1:2">
      <c r="A461" s="47"/>
      <c r="B461" s="48"/>
    </row>
    <row r="462" customHeight="1" spans="1:2">
      <c r="A462" s="47"/>
      <c r="B462" s="48"/>
    </row>
    <row r="463" customHeight="1" spans="1:2">
      <c r="A463" s="47"/>
      <c r="B463" s="48"/>
    </row>
    <row r="464" customHeight="1" spans="1:2">
      <c r="A464" s="47"/>
      <c r="B464" s="48"/>
    </row>
    <row r="465" customHeight="1" spans="1:2">
      <c r="A465" s="47"/>
      <c r="B465" s="48"/>
    </row>
    <row r="466" customHeight="1" spans="1:2">
      <c r="A466" s="47"/>
      <c r="B466" s="48"/>
    </row>
    <row r="467" customHeight="1" spans="1:2">
      <c r="A467" s="47"/>
      <c r="B467" s="48"/>
    </row>
    <row r="468" customHeight="1" spans="1:2">
      <c r="A468" s="47"/>
      <c r="B468" s="48"/>
    </row>
    <row r="469" customHeight="1" spans="1:2">
      <c r="A469" s="47"/>
      <c r="B469" s="48"/>
    </row>
    <row r="470" customHeight="1" spans="1:2">
      <c r="A470" s="47"/>
      <c r="B470" s="48"/>
    </row>
    <row r="471" customHeight="1" spans="1:2">
      <c r="A471" s="47"/>
      <c r="B471" s="48"/>
    </row>
    <row r="472" customHeight="1" spans="1:2">
      <c r="A472" s="47"/>
      <c r="B472" s="48"/>
    </row>
    <row r="473" customHeight="1" spans="1:2">
      <c r="A473" s="47"/>
      <c r="B473" s="48"/>
    </row>
    <row r="474" customHeight="1" spans="1:2">
      <c r="A474" s="47"/>
      <c r="B474" s="48"/>
    </row>
    <row r="475" customHeight="1" spans="1:2">
      <c r="A475" s="47"/>
      <c r="B475" s="48"/>
    </row>
    <row r="476" customHeight="1" spans="1:2">
      <c r="A476" s="47"/>
      <c r="B476" s="48"/>
    </row>
    <row r="477" customHeight="1" spans="1:2">
      <c r="A477" s="47"/>
      <c r="B477" s="48"/>
    </row>
    <row r="478" customHeight="1" spans="1:2">
      <c r="A478" s="47"/>
      <c r="B478" s="48"/>
    </row>
    <row r="479" customHeight="1" spans="1:2">
      <c r="A479" s="47"/>
      <c r="B479" s="48"/>
    </row>
    <row r="480" customHeight="1" spans="1:2">
      <c r="A480" s="47"/>
      <c r="B480" s="48"/>
    </row>
    <row r="481" customHeight="1" spans="1:2">
      <c r="A481" s="47"/>
      <c r="B481" s="48"/>
    </row>
    <row r="482" customHeight="1" spans="1:2">
      <c r="A482" s="47"/>
      <c r="B482" s="48"/>
    </row>
    <row r="483" customHeight="1" spans="1:2">
      <c r="A483" s="47"/>
      <c r="B483" s="48"/>
    </row>
    <row r="484" customHeight="1" spans="1:2">
      <c r="A484" s="47"/>
      <c r="B484" s="48"/>
    </row>
    <row r="485" customHeight="1" spans="1:2">
      <c r="A485" s="47"/>
      <c r="B485" s="48"/>
    </row>
    <row r="486" customHeight="1" spans="1:2">
      <c r="A486" s="47"/>
      <c r="B486" s="48"/>
    </row>
    <row r="487" customHeight="1" spans="1:2">
      <c r="A487" s="47"/>
      <c r="B487" s="48"/>
    </row>
    <row r="488" customHeight="1" spans="1:2">
      <c r="A488" s="47"/>
      <c r="B488" s="48"/>
    </row>
    <row r="489" customHeight="1" spans="1:2">
      <c r="A489" s="47"/>
      <c r="B489" s="48"/>
    </row>
    <row r="490" customHeight="1" spans="1:2">
      <c r="A490" s="47"/>
      <c r="B490" s="48"/>
    </row>
    <row r="491" customHeight="1" spans="1:2">
      <c r="A491" s="47"/>
      <c r="B491" s="48"/>
    </row>
    <row r="492" customHeight="1" spans="1:2">
      <c r="A492" s="47"/>
      <c r="B492" s="48"/>
    </row>
    <row r="493" customHeight="1" spans="1:2">
      <c r="A493" s="47"/>
      <c r="B493" s="48"/>
    </row>
    <row r="494" customHeight="1" spans="1:2">
      <c r="A494" s="47"/>
      <c r="B494" s="48"/>
    </row>
    <row r="495" customHeight="1" spans="1:2">
      <c r="A495" s="47"/>
      <c r="B495" s="48"/>
    </row>
    <row r="496" customHeight="1" spans="1:2">
      <c r="A496" s="47"/>
      <c r="B496" s="48"/>
    </row>
    <row r="497" customHeight="1" spans="1:2">
      <c r="A497" s="47"/>
      <c r="B497" s="48"/>
    </row>
    <row r="498" customHeight="1" spans="1:2">
      <c r="A498" s="47"/>
      <c r="B498" s="48"/>
    </row>
    <row r="499" customHeight="1" spans="1:2">
      <c r="A499" s="47"/>
      <c r="B499" s="48"/>
    </row>
    <row r="500" customHeight="1" spans="1:2">
      <c r="A500" s="47"/>
      <c r="B500" s="48"/>
    </row>
    <row r="501" customHeight="1" spans="1:2">
      <c r="A501" s="47"/>
      <c r="B501" s="48"/>
    </row>
    <row r="502" customHeight="1" spans="1:2">
      <c r="A502" s="47"/>
      <c r="B502" s="48"/>
    </row>
    <row r="503" customHeight="1" spans="1:2">
      <c r="A503" s="47"/>
      <c r="B503" s="48"/>
    </row>
    <row r="504" customHeight="1" spans="1:2">
      <c r="A504" s="47"/>
      <c r="B504" s="48"/>
    </row>
    <row r="505" customHeight="1" spans="1:2">
      <c r="A505" s="47"/>
      <c r="B505" s="48"/>
    </row>
    <row r="506" customHeight="1" spans="1:2">
      <c r="A506" s="47"/>
      <c r="B506" s="48"/>
    </row>
    <row r="507" customHeight="1" spans="1:2">
      <c r="A507" s="47"/>
      <c r="B507" s="48"/>
    </row>
    <row r="508" customHeight="1" spans="1:2">
      <c r="A508" s="47"/>
      <c r="B508" s="48"/>
    </row>
    <row r="509" customHeight="1" spans="1:2">
      <c r="A509" s="47"/>
      <c r="B509" s="48"/>
    </row>
    <row r="510" customHeight="1" spans="1:2">
      <c r="A510" s="47"/>
      <c r="B510" s="48"/>
    </row>
    <row r="511" customHeight="1" spans="1:2">
      <c r="A511" s="47"/>
      <c r="B511" s="48"/>
    </row>
    <row r="512" customHeight="1" spans="1:2">
      <c r="A512" s="47"/>
      <c r="B512" s="48"/>
    </row>
    <row r="513" customHeight="1" spans="1:2">
      <c r="A513" s="47"/>
      <c r="B513" s="48"/>
    </row>
    <row r="514" customHeight="1" spans="1:2">
      <c r="A514" s="47"/>
      <c r="B514" s="48"/>
    </row>
    <row r="515" customHeight="1" spans="1:2">
      <c r="A515" s="47"/>
      <c r="B515" s="48"/>
    </row>
    <row r="516" customHeight="1" spans="1:2">
      <c r="A516" s="47"/>
      <c r="B516" s="48"/>
    </row>
    <row r="517" customHeight="1" spans="1:2">
      <c r="A517" s="47"/>
      <c r="B517" s="48"/>
    </row>
    <row r="518" customHeight="1" spans="1:2">
      <c r="A518" s="47"/>
      <c r="B518" s="48"/>
    </row>
    <row r="519" customHeight="1" spans="1:2">
      <c r="A519" s="47"/>
      <c r="B519" s="48"/>
    </row>
    <row r="520" customHeight="1" spans="1:2">
      <c r="A520" s="47"/>
      <c r="B520" s="48"/>
    </row>
    <row r="521" customHeight="1" spans="1:2">
      <c r="A521" s="47"/>
      <c r="B521" s="48"/>
    </row>
    <row r="522" customHeight="1" spans="1:2">
      <c r="A522" s="47"/>
      <c r="B522" s="48"/>
    </row>
    <row r="523" customHeight="1" spans="1:2">
      <c r="A523" s="47"/>
      <c r="B523" s="48"/>
    </row>
    <row r="524" customHeight="1" spans="1:2">
      <c r="A524" s="47"/>
      <c r="B524" s="48"/>
    </row>
    <row r="525" customHeight="1" spans="1:2">
      <c r="A525" s="47"/>
      <c r="B525" s="48"/>
    </row>
    <row r="526" customHeight="1" spans="1:2">
      <c r="A526" s="47"/>
      <c r="B526" s="48"/>
    </row>
    <row r="527" customHeight="1" spans="1:2">
      <c r="A527" s="47"/>
      <c r="B527" s="48"/>
    </row>
    <row r="528" customHeight="1" spans="1:2">
      <c r="A528" s="47"/>
      <c r="B528" s="48"/>
    </row>
    <row r="529" customHeight="1" spans="1:2">
      <c r="A529" s="47"/>
      <c r="B529" s="48"/>
    </row>
    <row r="530" customHeight="1" spans="1:2">
      <c r="A530" s="47"/>
      <c r="B530" s="48"/>
    </row>
    <row r="531" customHeight="1" spans="1:2">
      <c r="A531" s="47"/>
      <c r="B531" s="48"/>
    </row>
    <row r="532" customHeight="1" spans="1:2">
      <c r="A532" s="47"/>
      <c r="B532" s="48"/>
    </row>
    <row r="533" customHeight="1" spans="1:2">
      <c r="A533" s="47"/>
      <c r="B533" s="48"/>
    </row>
    <row r="534" customHeight="1" spans="1:2">
      <c r="A534" s="47"/>
      <c r="B534" s="48"/>
    </row>
    <row r="535" customHeight="1" spans="1:2">
      <c r="A535" s="47"/>
      <c r="B535" s="48"/>
    </row>
    <row r="536" customHeight="1" spans="1:2">
      <c r="A536" s="47"/>
      <c r="B536" s="48"/>
    </row>
    <row r="537" customHeight="1" spans="1:2">
      <c r="A537" s="47"/>
      <c r="B537" s="48"/>
    </row>
    <row r="538" customHeight="1" spans="1:2">
      <c r="A538" s="47"/>
      <c r="B538" s="48"/>
    </row>
    <row r="539" customHeight="1" spans="1:2">
      <c r="A539" s="47"/>
      <c r="B539" s="48"/>
    </row>
    <row r="540" customHeight="1" spans="1:2">
      <c r="A540" s="47"/>
      <c r="B540" s="48"/>
    </row>
    <row r="541" customHeight="1" spans="1:2">
      <c r="A541" s="47"/>
      <c r="B541" s="48"/>
    </row>
    <row r="542" customHeight="1" spans="1:2">
      <c r="A542" s="47"/>
      <c r="B542" s="48"/>
    </row>
    <row r="543" customHeight="1" spans="1:2">
      <c r="A543" s="47"/>
      <c r="B543" s="48"/>
    </row>
    <row r="544" customHeight="1" spans="1:2">
      <c r="A544" s="47"/>
      <c r="B544" s="48"/>
    </row>
    <row r="545" customHeight="1" spans="1:2">
      <c r="A545" s="47"/>
      <c r="B545" s="48"/>
    </row>
    <row r="546" customHeight="1" spans="1:2">
      <c r="A546" s="47"/>
      <c r="B546" s="48"/>
    </row>
    <row r="547" customHeight="1" spans="1:2">
      <c r="A547" s="47"/>
      <c r="B547" s="48"/>
    </row>
    <row r="548" customHeight="1" spans="1:2">
      <c r="A548" s="47"/>
      <c r="B548" s="48"/>
    </row>
    <row r="549" customHeight="1" spans="1:2">
      <c r="A549" s="47"/>
      <c r="B549" s="48"/>
    </row>
    <row r="550" customHeight="1" spans="1:2">
      <c r="A550" s="47"/>
      <c r="B550" s="48"/>
    </row>
    <row r="551" customHeight="1" spans="1:2">
      <c r="A551" s="47"/>
      <c r="B551" s="48"/>
    </row>
    <row r="552" customHeight="1" spans="1:2">
      <c r="A552" s="47"/>
      <c r="B552" s="48"/>
    </row>
    <row r="553" customHeight="1" spans="1:2">
      <c r="A553" s="47"/>
      <c r="B553" s="48"/>
    </row>
    <row r="554" customHeight="1" spans="1:2">
      <c r="A554" s="47"/>
      <c r="B554" s="48"/>
    </row>
    <row r="555" customHeight="1" spans="1:2">
      <c r="A555" s="47"/>
      <c r="B555" s="48"/>
    </row>
    <row r="556" customHeight="1" spans="1:2">
      <c r="A556" s="47"/>
      <c r="B556" s="48"/>
    </row>
    <row r="557" customHeight="1" spans="1:2">
      <c r="A557" s="47"/>
      <c r="B557" s="48"/>
    </row>
    <row r="558" customHeight="1" spans="1:2">
      <c r="A558" s="47"/>
      <c r="B558" s="48"/>
    </row>
    <row r="559" customHeight="1" spans="1:2">
      <c r="A559" s="47"/>
      <c r="B559" s="48"/>
    </row>
    <row r="560" customHeight="1" spans="1:2">
      <c r="A560" s="47"/>
      <c r="B560" s="48"/>
    </row>
    <row r="561" customHeight="1" spans="1:2">
      <c r="A561" s="47"/>
      <c r="B561" s="48"/>
    </row>
    <row r="562" customHeight="1" spans="1:2">
      <c r="A562" s="47"/>
      <c r="B562" s="48"/>
    </row>
    <row r="563" customHeight="1" spans="1:2">
      <c r="A563" s="47"/>
      <c r="B563" s="48"/>
    </row>
    <row r="564" customHeight="1" spans="1:2">
      <c r="A564" s="47"/>
      <c r="B564" s="48"/>
    </row>
    <row r="565" customHeight="1" spans="1:2">
      <c r="A565" s="47"/>
      <c r="B565" s="48"/>
    </row>
    <row r="566" customHeight="1" spans="1:2">
      <c r="A566" s="47"/>
      <c r="B566" s="48"/>
    </row>
    <row r="567" customHeight="1" spans="1:2">
      <c r="A567" s="47"/>
      <c r="B567" s="48"/>
    </row>
    <row r="568" customHeight="1" spans="1:2">
      <c r="A568" s="47"/>
      <c r="B568" s="48"/>
    </row>
    <row r="569" customHeight="1" spans="1:2">
      <c r="A569" s="47"/>
      <c r="B569" s="48"/>
    </row>
    <row r="570" customHeight="1" spans="1:2">
      <c r="A570" s="47"/>
      <c r="B570" s="48"/>
    </row>
    <row r="571" customHeight="1" spans="1:2">
      <c r="A571" s="47"/>
      <c r="B571" s="48"/>
    </row>
    <row r="572" customHeight="1" spans="1:2">
      <c r="A572" s="47"/>
      <c r="B572" s="48"/>
    </row>
    <row r="573" customHeight="1" spans="1:2">
      <c r="A573" s="47"/>
      <c r="B573" s="48"/>
    </row>
    <row r="574" customHeight="1" spans="1:2">
      <c r="A574" s="47"/>
      <c r="B574" s="48"/>
    </row>
    <row r="575" customHeight="1" spans="1:2">
      <c r="A575" s="47"/>
      <c r="B575" s="48"/>
    </row>
    <row r="576" customHeight="1" spans="1:2">
      <c r="A576" s="47"/>
      <c r="B576" s="48"/>
    </row>
    <row r="577" customHeight="1" spans="1:2">
      <c r="A577" s="47"/>
      <c r="B577" s="48"/>
    </row>
    <row r="578" customHeight="1" spans="1:2">
      <c r="A578" s="47"/>
      <c r="B578" s="48"/>
    </row>
    <row r="579" customHeight="1" spans="1:2">
      <c r="A579" s="47"/>
      <c r="B579" s="48"/>
    </row>
    <row r="580" customHeight="1" spans="1:2">
      <c r="A580" s="47"/>
      <c r="B580" s="48"/>
    </row>
    <row r="581" customHeight="1" spans="1:2">
      <c r="A581" s="47"/>
      <c r="B581" s="48"/>
    </row>
    <row r="582" customHeight="1" spans="1:2">
      <c r="A582" s="47"/>
      <c r="B582" s="48"/>
    </row>
    <row r="583" customHeight="1" spans="1:2">
      <c r="A583" s="47"/>
      <c r="B583" s="48"/>
    </row>
    <row r="584" customHeight="1" spans="1:2">
      <c r="A584" s="47"/>
      <c r="B584" s="48"/>
    </row>
    <row r="585" customHeight="1" spans="1:2">
      <c r="A585" s="47"/>
      <c r="B585" s="48"/>
    </row>
    <row r="586" customHeight="1" spans="1:2">
      <c r="A586" s="47"/>
      <c r="B586" s="48"/>
    </row>
    <row r="587" customHeight="1" spans="1:2">
      <c r="A587" s="47"/>
      <c r="B587" s="48"/>
    </row>
    <row r="588" customHeight="1" spans="1:2">
      <c r="A588" s="47"/>
      <c r="B588" s="48"/>
    </row>
    <row r="589" customHeight="1" spans="1:2">
      <c r="A589" s="47"/>
      <c r="B589" s="48"/>
    </row>
    <row r="590" customHeight="1" spans="1:2">
      <c r="A590" s="47"/>
      <c r="B590" s="48"/>
    </row>
    <row r="591" customHeight="1" spans="1:2">
      <c r="A591" s="47"/>
      <c r="B591" s="48"/>
    </row>
    <row r="592" customHeight="1" spans="1:2">
      <c r="A592" s="47"/>
      <c r="B592" s="48"/>
    </row>
    <row r="593" customHeight="1" spans="1:2">
      <c r="A593" s="47"/>
      <c r="B593" s="48"/>
    </row>
    <row r="594" customHeight="1" spans="1:2">
      <c r="A594" s="47"/>
      <c r="B594" s="48"/>
    </row>
    <row r="595" customHeight="1" spans="1:2">
      <c r="A595" s="47"/>
      <c r="B595" s="48"/>
    </row>
    <row r="596" customHeight="1" spans="1:2">
      <c r="A596" s="47"/>
      <c r="B596" s="48"/>
    </row>
    <row r="597" customHeight="1" spans="1:2">
      <c r="A597" s="47"/>
      <c r="B597" s="48"/>
    </row>
    <row r="598" customHeight="1" spans="1:2">
      <c r="A598" s="47"/>
      <c r="B598" s="48"/>
    </row>
    <row r="599" customHeight="1" spans="1:2">
      <c r="A599" s="47"/>
      <c r="B599" s="48"/>
    </row>
    <row r="600" customHeight="1" spans="1:2">
      <c r="A600" s="47"/>
      <c r="B600" s="48"/>
    </row>
    <row r="601" customHeight="1" spans="1:2">
      <c r="A601" s="47"/>
      <c r="B601" s="48"/>
    </row>
    <row r="602" customHeight="1" spans="1:2">
      <c r="A602" s="47"/>
      <c r="B602" s="48"/>
    </row>
    <row r="603" customHeight="1" spans="1:2">
      <c r="A603" s="47"/>
      <c r="B603" s="48"/>
    </row>
    <row r="604" customHeight="1" spans="1:2">
      <c r="A604" s="47"/>
      <c r="B604" s="48"/>
    </row>
    <row r="605" customHeight="1" spans="1:2">
      <c r="A605" s="47"/>
      <c r="B605" s="48"/>
    </row>
    <row r="606" customHeight="1" spans="1:2">
      <c r="A606" s="47"/>
      <c r="B606" s="48"/>
    </row>
    <row r="607" customHeight="1" spans="1:2">
      <c r="A607" s="47"/>
      <c r="B607" s="48"/>
    </row>
    <row r="608" customHeight="1" spans="1:2">
      <c r="A608" s="47"/>
      <c r="B608" s="48"/>
    </row>
    <row r="609" customHeight="1" spans="1:2">
      <c r="A609" s="47"/>
      <c r="B609" s="48"/>
    </row>
    <row r="610" customHeight="1" spans="1:2">
      <c r="A610" s="47"/>
      <c r="B610" s="48"/>
    </row>
    <row r="611" customHeight="1" spans="1:2">
      <c r="A611" s="47"/>
      <c r="B611" s="48"/>
    </row>
    <row r="612" customHeight="1" spans="1:2">
      <c r="A612" s="47"/>
      <c r="B612" s="48"/>
    </row>
    <row r="613" customHeight="1" spans="1:2">
      <c r="A613" s="47"/>
      <c r="B613" s="48"/>
    </row>
    <row r="614" customHeight="1" spans="1:2">
      <c r="A614" s="47"/>
      <c r="B614" s="48"/>
    </row>
    <row r="615" customHeight="1" spans="1:2">
      <c r="A615" s="47"/>
      <c r="B615" s="48"/>
    </row>
    <row r="616" customHeight="1" spans="1:2">
      <c r="A616" s="47"/>
      <c r="B616" s="48"/>
    </row>
    <row r="617" customHeight="1" spans="1:2">
      <c r="A617" s="47"/>
      <c r="B617" s="48"/>
    </row>
    <row r="618" customHeight="1" spans="1:2">
      <c r="A618" s="47"/>
      <c r="B618" s="48"/>
    </row>
    <row r="619" customHeight="1" spans="1:2">
      <c r="A619" s="47"/>
      <c r="B619" s="48"/>
    </row>
    <row r="620" customHeight="1" spans="1:2">
      <c r="A620" s="47"/>
      <c r="B620" s="48"/>
    </row>
    <row r="621" customHeight="1" spans="1:2">
      <c r="A621" s="47"/>
      <c r="B621" s="48"/>
    </row>
    <row r="622" customHeight="1" spans="1:2">
      <c r="A622" s="47"/>
      <c r="B622" s="48"/>
    </row>
    <row r="623" customHeight="1" spans="1:2">
      <c r="A623" s="47"/>
      <c r="B623" s="48"/>
    </row>
    <row r="624" customHeight="1" spans="1:2">
      <c r="A624" s="47"/>
      <c r="B624" s="48"/>
    </row>
    <row r="625" customHeight="1" spans="1:2">
      <c r="A625" s="47"/>
      <c r="B625" s="48"/>
    </row>
    <row r="626" customHeight="1" spans="1:2">
      <c r="A626" s="47"/>
      <c r="B626" s="48"/>
    </row>
    <row r="627" customHeight="1" spans="1:2">
      <c r="A627" s="47"/>
      <c r="B627" s="48"/>
    </row>
    <row r="628" customHeight="1" spans="1:2">
      <c r="A628" s="47"/>
      <c r="B628" s="48"/>
    </row>
    <row r="629" customHeight="1" spans="1:2">
      <c r="A629" s="47"/>
      <c r="B629" s="48"/>
    </row>
    <row r="630" customHeight="1" spans="1:2">
      <c r="A630" s="47"/>
      <c r="B630" s="48"/>
    </row>
    <row r="631" customHeight="1" spans="1:2">
      <c r="A631" s="47"/>
      <c r="B631" s="48"/>
    </row>
    <row r="632" customHeight="1" spans="1:2">
      <c r="A632" s="47"/>
      <c r="B632" s="48"/>
    </row>
    <row r="633" customHeight="1" spans="1:2">
      <c r="A633" s="47"/>
      <c r="B633" s="48"/>
    </row>
    <row r="634" customHeight="1" spans="1:2">
      <c r="A634" s="47"/>
      <c r="B634" s="48"/>
    </row>
    <row r="635" customHeight="1" spans="1:2">
      <c r="A635" s="47"/>
      <c r="B635" s="48"/>
    </row>
    <row r="636" customHeight="1" spans="1:2">
      <c r="A636" s="47"/>
      <c r="B636" s="48"/>
    </row>
    <row r="637" customHeight="1" spans="1:2">
      <c r="A637" s="47"/>
      <c r="B637" s="48"/>
    </row>
    <row r="638" customHeight="1" spans="1:2">
      <c r="A638" s="47"/>
      <c r="B638" s="48"/>
    </row>
    <row r="639" customHeight="1" spans="1:2">
      <c r="A639" s="47"/>
      <c r="B639" s="48"/>
    </row>
    <row r="640" customHeight="1" spans="1:2">
      <c r="A640" s="47"/>
      <c r="B640" s="48"/>
    </row>
    <row r="641" customHeight="1" spans="1:2">
      <c r="A641" s="47"/>
      <c r="B641" s="48"/>
    </row>
    <row r="642" customHeight="1" spans="1:2">
      <c r="A642" s="47"/>
      <c r="B642" s="48"/>
    </row>
    <row r="643" customHeight="1" spans="1:2">
      <c r="A643" s="47"/>
      <c r="B643" s="48"/>
    </row>
    <row r="644" customHeight="1" spans="1:2">
      <c r="A644" s="47"/>
      <c r="B644" s="48"/>
    </row>
    <row r="645" customHeight="1" spans="1:2">
      <c r="A645" s="47"/>
      <c r="B645" s="48"/>
    </row>
    <row r="646" customHeight="1" spans="1:2">
      <c r="A646" s="47"/>
      <c r="B646" s="48"/>
    </row>
    <row r="647" customHeight="1" spans="1:2">
      <c r="A647" s="47"/>
      <c r="B647" s="48"/>
    </row>
    <row r="648" customHeight="1" spans="1:2">
      <c r="A648" s="47"/>
      <c r="B648" s="48"/>
    </row>
    <row r="649" customHeight="1" spans="1:2">
      <c r="A649" s="47"/>
      <c r="B649" s="48"/>
    </row>
    <row r="650" customHeight="1" spans="1:2">
      <c r="A650" s="47"/>
      <c r="B650" s="48"/>
    </row>
    <row r="651" customHeight="1" spans="1:2">
      <c r="A651" s="47"/>
      <c r="B651" s="48"/>
    </row>
    <row r="652" customHeight="1" spans="1:2">
      <c r="A652" s="47"/>
      <c r="B652" s="48"/>
    </row>
    <row r="653" customHeight="1" spans="1:2">
      <c r="A653" s="47"/>
      <c r="B653" s="48"/>
    </row>
    <row r="654" customHeight="1" spans="1:2">
      <c r="A654" s="47"/>
      <c r="B654" s="48"/>
    </row>
    <row r="655" customHeight="1" spans="1:2">
      <c r="A655" s="47"/>
      <c r="B655" s="48"/>
    </row>
    <row r="656" customHeight="1" spans="1:2">
      <c r="A656" s="47"/>
      <c r="B656" s="48"/>
    </row>
    <row r="657" customHeight="1" spans="1:2">
      <c r="A657" s="47"/>
      <c r="B657" s="48"/>
    </row>
    <row r="658" customHeight="1" spans="1:2">
      <c r="A658" s="47"/>
      <c r="B658" s="48"/>
    </row>
    <row r="659" customHeight="1" spans="1:2">
      <c r="A659" s="47"/>
      <c r="B659" s="48"/>
    </row>
    <row r="660" customHeight="1" spans="1:2">
      <c r="A660" s="47"/>
      <c r="B660" s="48"/>
    </row>
    <row r="661" customHeight="1" spans="1:2">
      <c r="A661" s="47"/>
      <c r="B661" s="48"/>
    </row>
    <row r="662" customHeight="1" spans="1:2">
      <c r="A662" s="47"/>
      <c r="B662" s="48"/>
    </row>
    <row r="663" customHeight="1" spans="1:2">
      <c r="A663" s="47"/>
      <c r="B663" s="48"/>
    </row>
    <row r="664" customHeight="1" spans="1:2">
      <c r="A664" s="47"/>
      <c r="B664" s="48"/>
    </row>
    <row r="665" customHeight="1" spans="1:2">
      <c r="A665" s="47"/>
      <c r="B665" s="48"/>
    </row>
    <row r="666" customHeight="1" spans="1:2">
      <c r="A666" s="47"/>
      <c r="B666" s="48"/>
    </row>
    <row r="667" customHeight="1" spans="1:2">
      <c r="A667" s="47"/>
      <c r="B667" s="48"/>
    </row>
    <row r="668" customHeight="1" spans="1:2">
      <c r="A668" s="47"/>
      <c r="B668" s="48"/>
    </row>
    <row r="669" customHeight="1" spans="1:2">
      <c r="A669" s="47"/>
      <c r="B669" s="48"/>
    </row>
    <row r="670" customHeight="1" spans="1:2">
      <c r="A670" s="47"/>
      <c r="B670" s="48"/>
    </row>
    <row r="671" customHeight="1" spans="1:2">
      <c r="A671" s="47"/>
      <c r="B671" s="48"/>
    </row>
    <row r="672" customHeight="1" spans="1:2">
      <c r="A672" s="47"/>
      <c r="B672" s="48"/>
    </row>
    <row r="673" customHeight="1" spans="1:2">
      <c r="A673" s="47"/>
      <c r="B673" s="48"/>
    </row>
    <row r="674" customHeight="1" spans="1:2">
      <c r="A674" s="47"/>
      <c r="B674" s="48"/>
    </row>
    <row r="675" customHeight="1" spans="1:2">
      <c r="A675" s="47"/>
      <c r="B675" s="48"/>
    </row>
    <row r="676" customHeight="1" spans="1:2">
      <c r="A676" s="47"/>
      <c r="B676" s="48"/>
    </row>
    <row r="677" customHeight="1" spans="1:2">
      <c r="A677" s="47"/>
      <c r="B677" s="48"/>
    </row>
    <row r="678" customHeight="1" spans="1:2">
      <c r="A678" s="47"/>
      <c r="B678" s="48"/>
    </row>
    <row r="679" customHeight="1" spans="1:2">
      <c r="A679" s="47"/>
      <c r="B679" s="48"/>
    </row>
    <row r="680" customHeight="1" spans="1:2">
      <c r="A680" s="47"/>
      <c r="B680" s="48"/>
    </row>
    <row r="681" customHeight="1" spans="1:2">
      <c r="A681" s="47"/>
      <c r="B681" s="48"/>
    </row>
    <row r="682" customHeight="1" spans="1:2">
      <c r="A682" s="47"/>
      <c r="B682" s="48"/>
    </row>
    <row r="683" customHeight="1" spans="1:2">
      <c r="A683" s="47"/>
      <c r="B683" s="48"/>
    </row>
    <row r="684" customHeight="1" spans="1:2">
      <c r="A684" s="47"/>
      <c r="B684" s="48"/>
    </row>
    <row r="685" customHeight="1" spans="1:2">
      <c r="A685" s="47"/>
      <c r="B685" s="48"/>
    </row>
    <row r="686" customHeight="1" spans="1:2">
      <c r="A686" s="47"/>
      <c r="B686" s="48"/>
    </row>
    <row r="687" customHeight="1" spans="1:2">
      <c r="A687" s="47"/>
      <c r="B687" s="48"/>
    </row>
    <row r="688" customHeight="1" spans="1:2">
      <c r="A688" s="47"/>
      <c r="B688" s="48"/>
    </row>
    <row r="689" customHeight="1" spans="1:2">
      <c r="A689" s="47"/>
      <c r="B689" s="48"/>
    </row>
    <row r="690" customHeight="1" spans="1:2">
      <c r="A690" s="47"/>
      <c r="B690" s="48"/>
    </row>
    <row r="691" customHeight="1" spans="1:2">
      <c r="A691" s="47"/>
      <c r="B691" s="48"/>
    </row>
    <row r="692" customHeight="1" spans="1:2">
      <c r="A692" s="47"/>
      <c r="B692" s="48"/>
    </row>
    <row r="693" customHeight="1" spans="1:2">
      <c r="A693" s="47"/>
      <c r="B693" s="48"/>
    </row>
    <row r="694" customHeight="1" spans="1:2">
      <c r="A694" s="47"/>
      <c r="B694" s="48"/>
    </row>
    <row r="695" customHeight="1" spans="1:2">
      <c r="A695" s="47"/>
      <c r="B695" s="48"/>
    </row>
    <row r="696" customHeight="1" spans="1:2">
      <c r="A696" s="47"/>
      <c r="B696" s="48"/>
    </row>
    <row r="697" customHeight="1" spans="1:2">
      <c r="A697" s="47"/>
      <c r="B697" s="48"/>
    </row>
    <row r="698" customHeight="1" spans="1:2">
      <c r="A698" s="47"/>
      <c r="B698" s="48"/>
    </row>
    <row r="699" customHeight="1" spans="1:2">
      <c r="A699" s="47"/>
      <c r="B699" s="48"/>
    </row>
    <row r="700" customHeight="1" spans="1:2">
      <c r="A700" s="47"/>
      <c r="B700" s="48"/>
    </row>
    <row r="701" customHeight="1" spans="1:2">
      <c r="A701" s="47"/>
      <c r="B701" s="48"/>
    </row>
    <row r="702" customHeight="1" spans="1:2">
      <c r="A702" s="47"/>
      <c r="B702" s="48"/>
    </row>
    <row r="703" customHeight="1" spans="1:2">
      <c r="A703" s="47"/>
      <c r="B703" s="48"/>
    </row>
    <row r="704" customHeight="1" spans="1:2">
      <c r="A704" s="47"/>
      <c r="B704" s="48"/>
    </row>
    <row r="705" customHeight="1" spans="1:2">
      <c r="A705" s="47"/>
      <c r="B705" s="48"/>
    </row>
    <row r="706" customHeight="1" spans="1:2">
      <c r="A706" s="47"/>
      <c r="B706" s="48"/>
    </row>
    <row r="707" customHeight="1" spans="1:2">
      <c r="A707" s="47"/>
      <c r="B707" s="48"/>
    </row>
    <row r="708" customHeight="1" spans="1:2">
      <c r="A708" s="47"/>
      <c r="B708" s="48"/>
    </row>
    <row r="709" customHeight="1" spans="1:2">
      <c r="A709" s="47"/>
      <c r="B709" s="48"/>
    </row>
    <row r="710" customHeight="1" spans="1:2">
      <c r="A710" s="47"/>
      <c r="B710" s="48"/>
    </row>
    <row r="711" customHeight="1" spans="1:2">
      <c r="A711" s="47"/>
      <c r="B711" s="48"/>
    </row>
    <row r="712" customHeight="1" spans="1:2">
      <c r="A712" s="47"/>
      <c r="B712" s="48"/>
    </row>
    <row r="713" customHeight="1" spans="1:2">
      <c r="A713" s="47"/>
      <c r="B713" s="48"/>
    </row>
    <row r="714" customHeight="1" spans="1:2">
      <c r="A714" s="47"/>
      <c r="B714" s="48"/>
    </row>
    <row r="715" customHeight="1" spans="1:2">
      <c r="A715" s="47"/>
      <c r="B715" s="48"/>
    </row>
    <row r="716" customHeight="1" spans="1:2">
      <c r="A716" s="47"/>
      <c r="B716" s="48"/>
    </row>
    <row r="717" customHeight="1" spans="1:2">
      <c r="A717" s="47"/>
      <c r="B717" s="48"/>
    </row>
    <row r="718" customHeight="1" spans="1:2">
      <c r="A718" s="47"/>
      <c r="B718" s="48"/>
    </row>
    <row r="719" customHeight="1" spans="1:2">
      <c r="A719" s="47"/>
      <c r="B719" s="48"/>
    </row>
    <row r="720" customHeight="1" spans="1:2">
      <c r="A720" s="47"/>
      <c r="B720" s="48"/>
    </row>
    <row r="721" customHeight="1" spans="1:2">
      <c r="A721" s="47"/>
      <c r="B721" s="48"/>
    </row>
    <row r="722" customHeight="1" spans="1:2">
      <c r="A722" s="47"/>
      <c r="B722" s="48"/>
    </row>
    <row r="723" customHeight="1" spans="1:2">
      <c r="A723" s="47"/>
      <c r="B723" s="48"/>
    </row>
    <row r="724" customHeight="1" spans="1:2">
      <c r="A724" s="47"/>
      <c r="B724" s="48"/>
    </row>
    <row r="725" customHeight="1" spans="1:2">
      <c r="A725" s="47"/>
      <c r="B725" s="48"/>
    </row>
    <row r="726" customHeight="1" spans="1:2">
      <c r="A726" s="47"/>
      <c r="B726" s="48"/>
    </row>
    <row r="727" customHeight="1" spans="1:2">
      <c r="A727" s="47"/>
      <c r="B727" s="48"/>
    </row>
    <row r="728" customHeight="1" spans="1:2">
      <c r="A728" s="47"/>
      <c r="B728" s="48"/>
    </row>
    <row r="729" customHeight="1" spans="1:2">
      <c r="A729" s="47"/>
      <c r="B729" s="48"/>
    </row>
    <row r="730" customHeight="1" spans="1:2">
      <c r="A730" s="47"/>
      <c r="B730" s="48"/>
    </row>
    <row r="731" customHeight="1" spans="1:2">
      <c r="A731" s="47"/>
      <c r="B731" s="48"/>
    </row>
    <row r="732" customHeight="1" spans="1:2">
      <c r="A732" s="47"/>
      <c r="B732" s="48"/>
    </row>
    <row r="733" customHeight="1" spans="1:2">
      <c r="A733" s="47"/>
      <c r="B733" s="48"/>
    </row>
    <row r="734" customHeight="1" spans="1:2">
      <c r="A734" s="47"/>
      <c r="B734" s="48"/>
    </row>
    <row r="735" customHeight="1" spans="1:2">
      <c r="A735" s="47"/>
      <c r="B735" s="48"/>
    </row>
    <row r="736" customHeight="1" spans="1:2">
      <c r="A736" s="47"/>
      <c r="B736" s="48"/>
    </row>
    <row r="737" customHeight="1" spans="1:2">
      <c r="A737" s="47"/>
      <c r="B737" s="48"/>
    </row>
    <row r="738" customHeight="1" spans="1:2">
      <c r="A738" s="47"/>
      <c r="B738" s="48"/>
    </row>
    <row r="739" customHeight="1" spans="1:2">
      <c r="A739" s="47"/>
      <c r="B739" s="48"/>
    </row>
    <row r="740" customHeight="1" spans="1:2">
      <c r="A740" s="47"/>
      <c r="B740" s="48"/>
    </row>
    <row r="741" customHeight="1" spans="1:2">
      <c r="A741" s="47"/>
      <c r="B741" s="48"/>
    </row>
    <row r="742" customHeight="1" spans="1:2">
      <c r="A742" s="47"/>
      <c r="B742" s="48"/>
    </row>
    <row r="743" customHeight="1" spans="1:2">
      <c r="A743" s="47"/>
      <c r="B743" s="48"/>
    </row>
    <row r="744" customHeight="1" spans="1:2">
      <c r="A744" s="47"/>
      <c r="B744" s="48"/>
    </row>
    <row r="745" customHeight="1" spans="1:2">
      <c r="A745" s="47"/>
      <c r="B745" s="48"/>
    </row>
    <row r="746" customHeight="1" spans="1:2">
      <c r="A746" s="47"/>
      <c r="B746" s="48"/>
    </row>
    <row r="747" customHeight="1" spans="1:2">
      <c r="A747" s="47"/>
      <c r="B747" s="48"/>
    </row>
    <row r="748" customHeight="1" spans="1:2">
      <c r="A748" s="47"/>
      <c r="B748" s="48"/>
    </row>
    <row r="749" customHeight="1" spans="1:2">
      <c r="A749" s="47"/>
      <c r="B749" s="48"/>
    </row>
    <row r="750" customHeight="1" spans="1:2">
      <c r="A750" s="47"/>
      <c r="B750" s="48"/>
    </row>
    <row r="751" customHeight="1" spans="1:2">
      <c r="A751" s="47"/>
      <c r="B751" s="48"/>
    </row>
    <row r="752" customHeight="1" spans="1:2">
      <c r="A752" s="47"/>
      <c r="B752" s="48"/>
    </row>
    <row r="753" customHeight="1" spans="1:2">
      <c r="A753" s="47"/>
      <c r="B753" s="48"/>
    </row>
    <row r="754" customHeight="1" spans="1:2">
      <c r="A754" s="47"/>
      <c r="B754" s="48"/>
    </row>
    <row r="755" customHeight="1" spans="1:2">
      <c r="A755" s="47"/>
      <c r="B755" s="48"/>
    </row>
    <row r="756" customHeight="1" spans="1:2">
      <c r="A756" s="47"/>
      <c r="B756" s="48"/>
    </row>
    <row r="757" customHeight="1" spans="1:2">
      <c r="A757" s="47"/>
      <c r="B757" s="48"/>
    </row>
    <row r="758" customHeight="1" spans="1:2">
      <c r="A758" s="47"/>
      <c r="B758" s="48"/>
    </row>
    <row r="759" customHeight="1" spans="1:2">
      <c r="A759" s="47"/>
      <c r="B759" s="48"/>
    </row>
    <row r="760" customHeight="1" spans="1:2">
      <c r="A760" s="47"/>
      <c r="B760" s="48"/>
    </row>
    <row r="761" customHeight="1" spans="1:2">
      <c r="A761" s="47"/>
      <c r="B761" s="48"/>
    </row>
    <row r="762" customHeight="1" spans="1:2">
      <c r="A762" s="47"/>
      <c r="B762" s="48"/>
    </row>
    <row r="763" customHeight="1" spans="1:2">
      <c r="A763" s="47"/>
      <c r="B763" s="48"/>
    </row>
    <row r="764" customHeight="1" spans="1:2">
      <c r="A764" s="47"/>
      <c r="B764" s="48"/>
    </row>
    <row r="765" customHeight="1" spans="1:2">
      <c r="A765" s="47"/>
      <c r="B765" s="48"/>
    </row>
    <row r="766" customHeight="1" spans="1:2">
      <c r="A766" s="47"/>
      <c r="B766" s="48"/>
    </row>
    <row r="767" customHeight="1" spans="1:2">
      <c r="A767" s="47"/>
      <c r="B767" s="48"/>
    </row>
    <row r="768" customHeight="1" spans="1:2">
      <c r="A768" s="47"/>
      <c r="B768" s="48"/>
    </row>
    <row r="769" customHeight="1" spans="1:2">
      <c r="A769" s="47"/>
      <c r="B769" s="48"/>
    </row>
    <row r="770" customHeight="1" spans="1:2">
      <c r="A770" s="47"/>
      <c r="B770" s="48"/>
    </row>
    <row r="771" customHeight="1" spans="1:2">
      <c r="A771" s="47"/>
      <c r="B771" s="48"/>
    </row>
    <row r="772" customHeight="1" spans="1:2">
      <c r="A772" s="47"/>
      <c r="B772" s="48"/>
    </row>
    <row r="773" customHeight="1" spans="1:2">
      <c r="A773" s="47"/>
      <c r="B773" s="48"/>
    </row>
    <row r="774" customHeight="1" spans="1:2">
      <c r="A774" s="47"/>
      <c r="B774" s="48"/>
    </row>
    <row r="775" customHeight="1" spans="1:2">
      <c r="A775" s="47"/>
      <c r="B775" s="48"/>
    </row>
    <row r="776" customHeight="1" spans="1:2">
      <c r="A776" s="47"/>
      <c r="B776" s="48"/>
    </row>
    <row r="777" customHeight="1" spans="1:2">
      <c r="A777" s="47"/>
      <c r="B777" s="48"/>
    </row>
    <row r="778" customHeight="1" spans="1:2">
      <c r="A778" s="47"/>
      <c r="B778" s="48"/>
    </row>
    <row r="779" customHeight="1" spans="1:2">
      <c r="A779" s="47"/>
      <c r="B779" s="48"/>
    </row>
    <row r="780" customHeight="1" spans="1:2">
      <c r="A780" s="47"/>
      <c r="B780" s="48"/>
    </row>
    <row r="781" customHeight="1" spans="1:2">
      <c r="A781" s="47"/>
      <c r="B781" s="48"/>
    </row>
    <row r="782" customHeight="1" spans="1:2">
      <c r="A782" s="47"/>
      <c r="B782" s="48"/>
    </row>
    <row r="783" customHeight="1" spans="1:2">
      <c r="A783" s="47"/>
      <c r="B783" s="48"/>
    </row>
    <row r="784" customHeight="1" spans="1:2">
      <c r="A784" s="47"/>
      <c r="B784" s="48"/>
    </row>
    <row r="785" customHeight="1" spans="1:2">
      <c r="A785" s="47"/>
      <c r="B785" s="48"/>
    </row>
    <row r="786" customHeight="1" spans="1:2">
      <c r="A786" s="47"/>
      <c r="B786" s="48"/>
    </row>
    <row r="787" customHeight="1" spans="1:2">
      <c r="A787" s="47"/>
      <c r="B787" s="48"/>
    </row>
    <row r="788" customHeight="1" spans="1:2">
      <c r="A788" s="47"/>
      <c r="B788" s="48"/>
    </row>
    <row r="789" customHeight="1" spans="1:2">
      <c r="A789" s="47"/>
      <c r="B789" s="48"/>
    </row>
    <row r="790" customHeight="1" spans="1:2">
      <c r="A790" s="47"/>
      <c r="B790" s="48"/>
    </row>
    <row r="791" customHeight="1" spans="1:2">
      <c r="A791" s="47"/>
      <c r="B791" s="48"/>
    </row>
    <row r="792" customHeight="1" spans="1:2">
      <c r="A792" s="47"/>
      <c r="B792" s="48"/>
    </row>
    <row r="793" customHeight="1" spans="1:2">
      <c r="A793" s="47"/>
      <c r="B793" s="48"/>
    </row>
    <row r="794" customHeight="1" spans="1:2">
      <c r="A794" s="47"/>
      <c r="B794" s="48"/>
    </row>
    <row r="795" customHeight="1" spans="1:2">
      <c r="A795" s="47"/>
      <c r="B795" s="48"/>
    </row>
    <row r="796" customHeight="1" spans="1:2">
      <c r="A796" s="47"/>
      <c r="B796" s="48"/>
    </row>
    <row r="797" customHeight="1" spans="1:2">
      <c r="A797" s="47"/>
      <c r="B797" s="48"/>
    </row>
    <row r="798" customHeight="1" spans="1:2">
      <c r="A798" s="47"/>
      <c r="B798" s="48"/>
    </row>
    <row r="799" customHeight="1" spans="1:2">
      <c r="A799" s="47"/>
      <c r="B799" s="48"/>
    </row>
    <row r="800" customHeight="1" spans="1:2">
      <c r="A800" s="47"/>
      <c r="B800" s="48"/>
    </row>
    <row r="801" customHeight="1" spans="1:2">
      <c r="A801" s="47"/>
      <c r="B801" s="48"/>
    </row>
    <row r="802" customHeight="1" spans="1:2">
      <c r="A802" s="47"/>
      <c r="B802" s="48"/>
    </row>
    <row r="803" customHeight="1" spans="1:2">
      <c r="A803" s="47"/>
      <c r="B803" s="48"/>
    </row>
    <row r="804" customHeight="1" spans="1:2">
      <c r="A804" s="47"/>
      <c r="B804" s="48"/>
    </row>
    <row r="805" customHeight="1" spans="1:2">
      <c r="A805" s="47"/>
      <c r="B805" s="48"/>
    </row>
    <row r="806" customHeight="1" spans="1:2">
      <c r="A806" s="47"/>
      <c r="B806" s="48"/>
    </row>
    <row r="807" customHeight="1" spans="1:2">
      <c r="A807" s="47"/>
      <c r="B807" s="48"/>
    </row>
    <row r="808" customHeight="1" spans="1:2">
      <c r="A808" s="47"/>
      <c r="B808" s="48"/>
    </row>
    <row r="809" customHeight="1" spans="1:2">
      <c r="A809" s="47"/>
      <c r="B809" s="48"/>
    </row>
    <row r="810" customHeight="1" spans="1:2">
      <c r="A810" s="47"/>
      <c r="B810" s="48"/>
    </row>
    <row r="811" customHeight="1" spans="1:2">
      <c r="A811" s="47"/>
      <c r="B811" s="48"/>
    </row>
    <row r="812" customHeight="1" spans="1:2">
      <c r="A812" s="47"/>
      <c r="B812" s="48"/>
    </row>
    <row r="813" customHeight="1" spans="1:2">
      <c r="A813" s="47"/>
      <c r="B813" s="48"/>
    </row>
    <row r="814" customHeight="1" spans="1:2">
      <c r="A814" s="47"/>
      <c r="B814" s="48"/>
    </row>
    <row r="815" customHeight="1" spans="1:2">
      <c r="A815" s="47"/>
      <c r="B815" s="48"/>
    </row>
    <row r="816" customHeight="1" spans="1:2">
      <c r="A816" s="47"/>
      <c r="B816" s="48"/>
    </row>
    <row r="817" customHeight="1" spans="1:2">
      <c r="A817" s="47"/>
      <c r="B817" s="48"/>
    </row>
    <row r="818" customHeight="1" spans="1:2">
      <c r="A818" s="47"/>
      <c r="B818" s="48"/>
    </row>
    <row r="819" customHeight="1" spans="1:2">
      <c r="A819" s="47"/>
      <c r="B819" s="48"/>
    </row>
    <row r="820" customHeight="1" spans="1:2">
      <c r="A820" s="47"/>
      <c r="B820" s="48"/>
    </row>
    <row r="821" customHeight="1" spans="1:2">
      <c r="A821" s="47"/>
      <c r="B821" s="48"/>
    </row>
    <row r="822" customHeight="1" spans="1:2">
      <c r="A822" s="47"/>
      <c r="B822" s="48"/>
    </row>
    <row r="823" customHeight="1" spans="1:2">
      <c r="A823" s="47"/>
      <c r="B823" s="48"/>
    </row>
    <row r="824" customHeight="1" spans="1:2">
      <c r="A824" s="47"/>
      <c r="B824" s="48"/>
    </row>
    <row r="825" customHeight="1" spans="1:2">
      <c r="A825" s="47"/>
      <c r="B825" s="48"/>
    </row>
    <row r="826" customHeight="1" spans="1:2">
      <c r="A826" s="47"/>
      <c r="B826" s="48"/>
    </row>
    <row r="827" customHeight="1" spans="1:2">
      <c r="A827" s="47"/>
      <c r="B827" s="48"/>
    </row>
    <row r="828" customHeight="1" spans="1:2">
      <c r="A828" s="47"/>
      <c r="B828" s="48"/>
    </row>
    <row r="829" customHeight="1" spans="1:2">
      <c r="A829" s="47"/>
      <c r="B829" s="48"/>
    </row>
    <row r="830" customHeight="1" spans="1:2">
      <c r="A830" s="47"/>
      <c r="B830" s="48"/>
    </row>
    <row r="831" customHeight="1" spans="1:2">
      <c r="A831" s="47"/>
      <c r="B831" s="48"/>
    </row>
    <row r="832" customHeight="1" spans="1:2">
      <c r="A832" s="47"/>
      <c r="B832" s="48"/>
    </row>
    <row r="833" customHeight="1" spans="1:2">
      <c r="A833" s="47"/>
      <c r="B833" s="48"/>
    </row>
    <row r="834" customHeight="1" spans="1:2">
      <c r="A834" s="47"/>
      <c r="B834" s="48"/>
    </row>
    <row r="835" customHeight="1" spans="1:2">
      <c r="A835" s="47"/>
      <c r="B835" s="48"/>
    </row>
    <row r="836" customHeight="1" spans="1:2">
      <c r="A836" s="47"/>
      <c r="B836" s="48"/>
    </row>
    <row r="837" customHeight="1" spans="1:2">
      <c r="A837" s="47"/>
      <c r="B837" s="48"/>
    </row>
    <row r="838" customHeight="1" spans="1:2">
      <c r="A838" s="47"/>
      <c r="B838" s="48"/>
    </row>
    <row r="839" customHeight="1" spans="1:2">
      <c r="A839" s="47"/>
      <c r="B839" s="48"/>
    </row>
    <row r="840" customHeight="1" spans="1:2">
      <c r="A840" s="47"/>
      <c r="B840" s="48"/>
    </row>
    <row r="841" customHeight="1" spans="1:2">
      <c r="A841" s="47"/>
      <c r="B841" s="48"/>
    </row>
    <row r="842" customHeight="1" spans="1:2">
      <c r="A842" s="47"/>
      <c r="B842" s="48"/>
    </row>
    <row r="843" customHeight="1" spans="1:2">
      <c r="A843" s="47"/>
      <c r="B843" s="48"/>
    </row>
    <row r="844" customHeight="1" spans="1:2">
      <c r="A844" s="47"/>
      <c r="B844" s="48"/>
    </row>
    <row r="845" customHeight="1" spans="1:2">
      <c r="A845" s="47"/>
      <c r="B845" s="48"/>
    </row>
    <row r="846" customHeight="1" spans="1:2">
      <c r="A846" s="47"/>
      <c r="B846" s="48"/>
    </row>
    <row r="847" customHeight="1" spans="1:2">
      <c r="A847" s="47"/>
      <c r="B847" s="48"/>
    </row>
    <row r="848" customHeight="1" spans="1:2">
      <c r="A848" s="47"/>
      <c r="B848" s="48"/>
    </row>
    <row r="849" customHeight="1" spans="1:2">
      <c r="A849" s="47"/>
      <c r="B849" s="48"/>
    </row>
    <row r="850" customHeight="1" spans="1:2">
      <c r="A850" s="47"/>
      <c r="B850" s="48"/>
    </row>
    <row r="851" customHeight="1" spans="1:2">
      <c r="A851" s="47"/>
      <c r="B851" s="48"/>
    </row>
    <row r="852" customHeight="1" spans="1:2">
      <c r="A852" s="47"/>
      <c r="B852" s="48"/>
    </row>
    <row r="853" customHeight="1" spans="1:2">
      <c r="A853" s="47"/>
      <c r="B853" s="48"/>
    </row>
    <row r="854" customHeight="1" spans="1:2">
      <c r="A854" s="47"/>
      <c r="B854" s="48"/>
    </row>
    <row r="855" customHeight="1" spans="1:2">
      <c r="A855" s="47"/>
      <c r="B855" s="48"/>
    </row>
    <row r="856" customHeight="1" spans="1:2">
      <c r="A856" s="47"/>
      <c r="B856" s="48"/>
    </row>
    <row r="857" customHeight="1" spans="1:2">
      <c r="A857" s="47"/>
      <c r="B857" s="48"/>
    </row>
    <row r="858" customHeight="1" spans="1:2">
      <c r="A858" s="47"/>
      <c r="B858" s="48"/>
    </row>
    <row r="859" customHeight="1" spans="1:2">
      <c r="A859" s="47"/>
      <c r="B859" s="48"/>
    </row>
    <row r="860" customHeight="1" spans="1:2">
      <c r="A860" s="47"/>
      <c r="B860" s="48"/>
    </row>
    <row r="861" customHeight="1" spans="1:2">
      <c r="A861" s="47"/>
      <c r="B861" s="48"/>
    </row>
    <row r="862" customHeight="1" spans="1:2">
      <c r="A862" s="47"/>
      <c r="B862" s="48"/>
    </row>
    <row r="863" customHeight="1" spans="1:2">
      <c r="A863" s="47"/>
      <c r="B863" s="48"/>
    </row>
    <row r="864" customHeight="1" spans="1:2">
      <c r="A864" s="47"/>
      <c r="B864" s="48"/>
    </row>
    <row r="865" customHeight="1" spans="1:2">
      <c r="A865" s="47"/>
      <c r="B865" s="48"/>
    </row>
    <row r="866" customHeight="1" spans="1:2">
      <c r="A866" s="47"/>
      <c r="B866" s="48"/>
    </row>
    <row r="867" customHeight="1" spans="1:2">
      <c r="A867" s="47"/>
      <c r="B867" s="48"/>
    </row>
    <row r="868" customHeight="1" spans="1:2">
      <c r="A868" s="47"/>
      <c r="B868" s="48"/>
    </row>
    <row r="869" customHeight="1" spans="1:2">
      <c r="A869" s="47"/>
      <c r="B869" s="48"/>
    </row>
    <row r="870" customHeight="1" spans="1:2">
      <c r="A870" s="47"/>
      <c r="B870" s="48"/>
    </row>
    <row r="871" customHeight="1" spans="1:2">
      <c r="A871" s="47"/>
      <c r="B871" s="48"/>
    </row>
    <row r="872" customHeight="1" spans="1:2">
      <c r="A872" s="47"/>
      <c r="B872" s="48"/>
    </row>
    <row r="873" customHeight="1" spans="1:2">
      <c r="A873" s="47"/>
      <c r="B873" s="48"/>
    </row>
    <row r="874" customHeight="1" spans="1:2">
      <c r="A874" s="47"/>
      <c r="B874" s="48"/>
    </row>
    <row r="875" customHeight="1" spans="1:2">
      <c r="A875" s="47"/>
      <c r="B875" s="48"/>
    </row>
    <row r="876" customHeight="1" spans="1:2">
      <c r="A876" s="47"/>
      <c r="B876" s="48"/>
    </row>
    <row r="877" customHeight="1" spans="1:2">
      <c r="A877" s="47"/>
      <c r="B877" s="48"/>
    </row>
    <row r="878" customHeight="1" spans="1:2">
      <c r="A878" s="47"/>
      <c r="B878" s="48"/>
    </row>
    <row r="879" customHeight="1" spans="1:2">
      <c r="A879" s="47"/>
      <c r="B879" s="48"/>
    </row>
    <row r="880" customHeight="1" spans="1:2">
      <c r="A880" s="47"/>
      <c r="B880" s="48"/>
    </row>
    <row r="881" customHeight="1" spans="1:2">
      <c r="A881" s="47"/>
      <c r="B881" s="48"/>
    </row>
    <row r="882" customHeight="1" spans="1:2">
      <c r="A882" s="47"/>
      <c r="B882" s="48"/>
    </row>
    <row r="883" customHeight="1" spans="1:2">
      <c r="A883" s="47"/>
      <c r="B883" s="48"/>
    </row>
    <row r="884" customHeight="1" spans="1:2">
      <c r="A884" s="47"/>
      <c r="B884" s="48"/>
    </row>
    <row r="885" customHeight="1" spans="1:2">
      <c r="A885" s="47"/>
      <c r="B885" s="48"/>
    </row>
    <row r="886" customHeight="1" spans="1:2">
      <c r="A886" s="47"/>
      <c r="B886" s="48"/>
    </row>
    <row r="887" customHeight="1" spans="1:2">
      <c r="A887" s="47"/>
      <c r="B887" s="48"/>
    </row>
    <row r="888" customHeight="1" spans="1:2">
      <c r="A888" s="47"/>
      <c r="B888" s="48"/>
    </row>
    <row r="889" customHeight="1" spans="1:2">
      <c r="A889" s="47"/>
      <c r="B889" s="48"/>
    </row>
    <row r="890" customHeight="1" spans="1:2">
      <c r="A890" s="47"/>
      <c r="B890" s="48"/>
    </row>
    <row r="891" customHeight="1" spans="1:2">
      <c r="A891" s="47"/>
      <c r="B891" s="48"/>
    </row>
    <row r="892" customHeight="1" spans="1:2">
      <c r="A892" s="47"/>
      <c r="B892" s="48"/>
    </row>
    <row r="893" customHeight="1" spans="1:2">
      <c r="A893" s="47"/>
      <c r="B893" s="48"/>
    </row>
    <row r="894" customHeight="1" spans="1:2">
      <c r="A894" s="47"/>
      <c r="B894" s="48"/>
    </row>
    <row r="895" customHeight="1" spans="1:2">
      <c r="A895" s="47"/>
      <c r="B895" s="48"/>
    </row>
    <row r="896" customHeight="1" spans="1:2">
      <c r="A896" s="47"/>
      <c r="B896" s="48"/>
    </row>
    <row r="897" customHeight="1" spans="1:2">
      <c r="A897" s="47"/>
      <c r="B897" s="48"/>
    </row>
    <row r="898" customHeight="1" spans="1:2">
      <c r="A898" s="47"/>
      <c r="B898" s="48"/>
    </row>
    <row r="899" customHeight="1" spans="1:2">
      <c r="A899" s="47"/>
      <c r="B899" s="48"/>
    </row>
    <row r="900" customHeight="1" spans="1:2">
      <c r="A900" s="47"/>
      <c r="B900" s="48"/>
    </row>
    <row r="901" customHeight="1" spans="1:2">
      <c r="A901" s="47"/>
      <c r="B901" s="48"/>
    </row>
    <row r="902" customHeight="1" spans="1:2">
      <c r="A902" s="47"/>
      <c r="B902" s="48"/>
    </row>
    <row r="903" customHeight="1" spans="1:2">
      <c r="A903" s="47"/>
      <c r="B903" s="48"/>
    </row>
    <row r="904" customHeight="1" spans="1:2">
      <c r="A904" s="47"/>
      <c r="B904" s="48"/>
    </row>
    <row r="905" customHeight="1" spans="1:2">
      <c r="A905" s="47"/>
      <c r="B905" s="48"/>
    </row>
    <row r="906" customHeight="1" spans="1:2">
      <c r="A906" s="47"/>
      <c r="B906" s="48"/>
    </row>
    <row r="907" customHeight="1" spans="1:2">
      <c r="A907" s="47"/>
      <c r="B907" s="48"/>
    </row>
    <row r="908" customHeight="1" spans="1:2">
      <c r="A908" s="47"/>
      <c r="B908" s="48"/>
    </row>
    <row r="909" customHeight="1" spans="1:2">
      <c r="A909" s="47"/>
      <c r="B909" s="48"/>
    </row>
    <row r="910" customHeight="1" spans="1:2">
      <c r="A910" s="47"/>
      <c r="B910" s="48"/>
    </row>
    <row r="911" customHeight="1" spans="1:2">
      <c r="A911" s="47"/>
      <c r="B911" s="48"/>
    </row>
    <row r="912" customHeight="1" spans="1:1">
      <c r="A912" s="47"/>
    </row>
    <row r="913" customHeight="1" spans="1:1">
      <c r="A913" s="47"/>
    </row>
    <row r="914" customHeight="1" spans="1:1">
      <c r="A914" s="47"/>
    </row>
    <row r="915" customHeight="1" spans="1:1">
      <c r="A915" s="47"/>
    </row>
    <row r="916" customHeight="1" spans="1:1">
      <c r="A916" s="47"/>
    </row>
    <row r="917" customHeight="1" spans="1:1">
      <c r="A917" s="47"/>
    </row>
    <row r="918" customHeight="1" spans="1:1">
      <c r="A918" s="47"/>
    </row>
    <row r="919" customHeight="1" spans="1:1">
      <c r="A919" s="47"/>
    </row>
    <row r="920" customHeight="1" spans="1:1">
      <c r="A920" s="47"/>
    </row>
    <row r="921" customHeight="1" spans="1:1">
      <c r="A921" s="47"/>
    </row>
    <row r="922" customHeight="1" spans="1:1">
      <c r="A922" s="47"/>
    </row>
    <row r="923" customHeight="1" spans="1:1">
      <c r="A923" s="47"/>
    </row>
    <row r="924" customHeight="1" spans="1:1">
      <c r="A924" s="47"/>
    </row>
    <row r="925" customHeight="1" spans="1:1">
      <c r="A925" s="47"/>
    </row>
    <row r="926" customHeight="1" spans="1:1">
      <c r="A926" s="47"/>
    </row>
    <row r="927" customHeight="1" spans="1:1">
      <c r="A927" s="47"/>
    </row>
    <row r="928" customHeight="1" spans="1:1">
      <c r="A928" s="47"/>
    </row>
    <row r="929" customHeight="1" spans="1:1">
      <c r="A929" s="47"/>
    </row>
    <row r="930" customHeight="1" spans="1:1">
      <c r="A930" s="47"/>
    </row>
    <row r="931" customHeight="1" spans="1:1">
      <c r="A931" s="47"/>
    </row>
    <row r="932" customHeight="1" spans="1:1">
      <c r="A932" s="47"/>
    </row>
    <row r="933" customHeight="1" spans="1:1">
      <c r="A933" s="47"/>
    </row>
    <row r="934" customHeight="1" spans="1:1">
      <c r="A934" s="47"/>
    </row>
    <row r="935" customHeight="1" spans="1:1">
      <c r="A935" s="47"/>
    </row>
    <row r="936" customHeight="1" spans="1:1">
      <c r="A936" s="47"/>
    </row>
    <row r="937" customHeight="1" spans="1:1">
      <c r="A937" s="47"/>
    </row>
    <row r="938" customHeight="1" spans="1:1">
      <c r="A938" s="47"/>
    </row>
    <row r="939" customHeight="1" spans="1:1">
      <c r="A939" s="47"/>
    </row>
    <row r="940" customHeight="1" spans="1:1">
      <c r="A940" s="47"/>
    </row>
    <row r="941" customHeight="1" spans="1:1">
      <c r="A941" s="47"/>
    </row>
    <row r="942" customHeight="1" spans="1:1">
      <c r="A942" s="47"/>
    </row>
    <row r="943" customHeight="1" spans="1:1">
      <c r="A943" s="47"/>
    </row>
    <row r="944" customHeight="1" spans="1:1">
      <c r="A944" s="47"/>
    </row>
    <row r="945" customHeight="1" spans="1:1">
      <c r="A945" s="47"/>
    </row>
    <row r="946" customHeight="1" spans="1:1">
      <c r="A946" s="47"/>
    </row>
    <row r="947" customHeight="1" spans="1:1">
      <c r="A947" s="47"/>
    </row>
  </sheetData>
  <mergeCells count="15">
    <mergeCell ref="M1:N1"/>
    <mergeCell ref="A1:A2"/>
    <mergeCell ref="B1:B2"/>
    <mergeCell ref="C1:C2"/>
    <mergeCell ref="D1:D2"/>
    <mergeCell ref="E1:E2"/>
    <mergeCell ref="F1:F2"/>
    <mergeCell ref="F122:F124"/>
    <mergeCell ref="F128:F130"/>
    <mergeCell ref="G1:G2"/>
    <mergeCell ref="H1:H2"/>
    <mergeCell ref="I1:I2"/>
    <mergeCell ref="J1:J2"/>
    <mergeCell ref="K1:K2"/>
    <mergeCell ref="L1:L2"/>
  </mergeCells>
  <dataValidations count="1">
    <dataValidation type="list" allowBlank="1" showErrorMessage="1" sqref="C3:C111">
      <formula1>"Home,Food,Grocery,Snacks,Health,Transport,Fuel,Tickets,Dress,Others"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September</vt:lpstr>
      <vt:lpstr>October</vt:lpstr>
      <vt:lpstr>November</vt:lpstr>
      <vt:lpstr>December</vt:lpstr>
      <vt:lpstr>January</vt:lpstr>
      <vt:lpstr>Mar 2025</vt:lpstr>
      <vt:lpstr>Apr 2025</vt:lpstr>
      <vt:lpstr>May 2025</vt:lpstr>
      <vt:lpstr>Jun 2025</vt:lpstr>
      <vt:lpstr>Jul 2025</vt:lpstr>
      <vt:lpstr>Aug 2025</vt:lpstr>
      <vt:lpstr>Sep 2025</vt:lpstr>
      <vt:lpstr>Oct 2025</vt:lpstr>
      <vt:lpstr>Nov 2025</vt:lpstr>
      <vt:lpstr>Dec 2025</vt:lpstr>
      <vt:lpstr>Jan 2026</vt:lpstr>
      <vt:lpstr>Feb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Jebitha</cp:lastModifiedBy>
  <dcterms:created xsi:type="dcterms:W3CDTF">2026-04-08T11:44:29Z</dcterms:created>
  <dcterms:modified xsi:type="dcterms:W3CDTF">2026-04-08T11:46:56Z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524BD51B20E34B3D80BB0310048F025D_12</vt:lpwstr>
  </property>
  <property fmtid="{D5CDD505-2E9C-101B-9397-08002B2CF9AE}" pid="3" name="KSOProductBuildVer">
    <vt:lpwstr>1033-12.2.0.23196</vt:lpwstr>
  </property>
</Properties>
</file>